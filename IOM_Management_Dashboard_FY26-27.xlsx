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Procurement" sheetId="3" state="visible" r:id="rId3"/>
    <sheet xmlns:r="http://schemas.openxmlformats.org/officeDocument/2006/relationships" name="Balance" sheetId="4" state="visible" r:id="rId4"/>
  </sheets>
  <definedNames>
    <definedName name="_xlnm._FilterDatabase" localSheetId="1" hidden="1">'Contracts'!$A$1:$J$113</definedName>
    <definedName name="_xlnm._FilterDatabase" localSheetId="2" hidden="1">'Procurement'!$A$1:$H$60</definedName>
    <definedName name="_xlnm._FilterDatabase" localSheetId="3" hidden="1">'Balance'!$A$1:$J$96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₹0.00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color rgb="00FFFFFF"/>
      <sz val="20"/>
    </font>
    <font>
      <b val="1"/>
      <color rgb="001F1F1F"/>
    </font>
    <font>
      <b val="1"/>
      <color rgb="0017365D"/>
      <sz val="13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166" fontId="5" fillId="5" borderId="1" applyAlignment="1" pivotButton="0" quotePrefix="0" xfId="0">
      <alignment vertical="center" wrapText="1"/>
    </xf>
    <xf numFmtId="166" fontId="1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6" fontId="2" fillId="3" borderId="0" applyAlignment="1" pivotButton="0" quotePrefix="0" xfId="0">
      <alignment vertical="center" wrapText="1"/>
    </xf>
    <xf numFmtId="17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Plan vs Achieved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'Dashboard'!$A$35:$A$46</f>
            </numRef>
          </cat>
          <val>
            <numRef>
              <f>'Dashboard'!$B$35:$B$46</f>
            </numRef>
          </val>
        </ser>
        <ser>
          <idx val="1"/>
          <order val="1"/>
          <tx>
            <strRef>
              <f>'Dashboard'!C34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'Dashboard'!$A$35:$A$46</f>
            </numRef>
          </cat>
          <val>
            <numRef>
              <f>'Dashboard'!$C$35:$C$46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Award Schedule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'Dashboard'!$A$35:$A$46</f>
            </numRef>
          </cat>
          <val>
            <numRef>
              <f>'Dashboard'!$D$35:$D$46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PTE Value (₹ 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ntracts" displayName="tblContracts" ref="A1:J113" headerRowCount="1">
  <autoFilter ref="A1:J113"/>
  <tableColumns count="10">
    <tableColumn id="1" name="IOM Version"/>
    <tableColumn id="2" name="Project"/>
    <tableColumn id="3" name="Package"/>
    <tableColumn id="4" name="Awarded Vendor"/>
    <tableColumn id="5" name="TES / Non-TES"/>
    <tableColumn id="6" name="Requisition Date"/>
    <tableColumn id="7" name="Award Date"/>
    <tableColumn id="8" name="Unique Flag"/>
    <tableColumn id="9" name="Budget (₹ Cr)"/>
    <tableColumn id="10" name="Unique Award (₹ C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curement" displayName="tblProcurement" ref="A1:H60" headerRowCount="1">
  <autoFilter ref="A1:H60"/>
  <tableColumns count="8">
    <tableColumn id="1" name="IOM Version"/>
    <tableColumn id="2" name="Project"/>
    <tableColumn id="3" name="Package"/>
    <tableColumn id="4" name="TES / Non-TES"/>
    <tableColumn id="5" name="Award Date"/>
    <tableColumn id="6" name="Budget (₹ Cr)"/>
    <tableColumn id="7" name="Award Value (₹ Cr)"/>
    <tableColumn id="8" name="Awarded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alance" displayName="tblBalance" ref="A1:J96" headerRowCount="1">
  <autoFilter ref="A1:J96"/>
  <tableColumns count="10">
    <tableColumn id="1" name="Project"/>
    <tableColumn id="2" name="Contract Award Package"/>
    <tableColumn id="3" name="Revised Plan Date"/>
    <tableColumn id="4" name="Actual/CBE Award Date"/>
    <tableColumn id="5" name="Schedule Date"/>
    <tableColumn id="6" name="PTE Value (₹ Cr)"/>
    <tableColumn id="7" name="BOQ Status"/>
    <tableColumn id="8" name="Drawing Status"/>
    <tableColumn id="9" name="Currently With"/>
    <tableColumn id="10" name="Depend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8" customHeight="1">
      <c r="A1" s="1" t="inlineStr">
        <is>
          <t>IOM PLAN VS ACHIEVED — FY 2026–27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Period</t>
        </is>
      </c>
      <c r="B2" s="2" t="inlineStr">
        <is>
          <t>YTD</t>
        </is>
      </c>
      <c r="C2" s="2" t="n"/>
      <c r="D2" s="2" t="inlineStr">
        <is>
          <t>MTD</t>
        </is>
      </c>
      <c r="E2" s="2" t="inlineStr">
        <is>
          <t>August 2026</t>
        </is>
      </c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From</t>
        </is>
      </c>
      <c r="B4" s="3">
        <f>IF(B2="YTD",DATE(2026,4,1),IF(B2="QTD",DATE(2026,7,1),DATE(2026,8,1)))</f>
        <v/>
      </c>
      <c r="C4" s="2" t="n"/>
      <c r="D4" s="2" t="inlineStr">
        <is>
          <t>Units</t>
        </is>
      </c>
      <c r="E4" s="2" t="inlineStr">
        <is>
          <t>₹ crore, excluding tax</t>
        </is>
      </c>
      <c r="F4" s="2" t="n"/>
      <c r="G4" s="2" t="n"/>
    </row>
    <row r="5">
      <c r="A5" s="2" t="inlineStr">
        <is>
          <t>To</t>
        </is>
      </c>
      <c r="B5" s="3" t="n">
        <v>46265</v>
      </c>
      <c r="C5" s="2" t="n"/>
      <c r="D5" s="2" t="inlineStr">
        <is>
          <t>Calculation</t>
        </is>
      </c>
      <c r="E5" s="2" t="inlineStr">
        <is>
          <t>Automatic when source tabs are updated</t>
        </is>
      </c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4" t="inlineStr">
        <is>
          <t>Management Summary</t>
        </is>
      </c>
      <c r="B7" s="4" t="n"/>
      <c r="C7" s="4" t="n"/>
      <c r="D7" s="4" t="n"/>
      <c r="E7" s="4" t="n"/>
      <c r="F7" s="4" t="n"/>
      <c r="G7" s="4" t="n"/>
    </row>
    <row r="8">
      <c r="A8" s="5" t="inlineStr">
        <is>
          <t>Plan / Budget</t>
        </is>
      </c>
      <c r="B8" s="6">
        <f>SUM(B10:B12)</f>
        <v/>
      </c>
      <c r="C8" s="6" t="inlineStr">
        <is>
          <t>Achieved Awards</t>
        </is>
      </c>
      <c r="D8" s="6">
        <f>SUM(C10:C11)</f>
        <v/>
      </c>
      <c r="E8" s="6" t="inlineStr">
        <is>
          <t>Achievement</t>
        </is>
      </c>
      <c r="F8" s="7">
        <f>IFERROR(D8/B8,0)</f>
        <v/>
      </c>
      <c r="G8" s="7" t="n"/>
    </row>
    <row r="9">
      <c r="A9" s="8" t="inlineStr">
        <is>
          <t>Category</t>
        </is>
      </c>
      <c r="B9" s="9" t="inlineStr">
        <is>
          <t>Plan / Budget</t>
        </is>
      </c>
      <c r="C9" s="9" t="inlineStr">
        <is>
          <t>Achieved</t>
        </is>
      </c>
      <c r="D9" s="9" t="inlineStr">
        <is>
          <t>Count</t>
        </is>
      </c>
      <c r="E9" s="9" t="inlineStr">
        <is>
          <t>Achievement %</t>
        </is>
      </c>
      <c r="F9" s="7" t="n"/>
      <c r="G9" s="7" t="n"/>
    </row>
    <row r="10">
      <c r="A10" s="5" t="inlineStr">
        <is>
          <t>Awarded IOM</t>
        </is>
      </c>
      <c r="B10" s="6">
        <f>SUMIFS(Contracts!$I$2:$I$10000,Contracts!$G$2:$G$10000,"&gt;="&amp;$B$4,Contracts!$G$2:$G$10000,"&lt;="&amp;$B$5,Contracts!$H$2:$H$10000,1)</f>
        <v/>
      </c>
      <c r="C10" s="6">
        <f>SUMIFS(Contracts!$J$2:$J$10000,Contracts!$G$2:$G$10000,"&gt;="&amp;$B$4,Contracts!$G$2:$G$10000,"&lt;="&amp;$B$5,Contracts!$H$2:$H$10000,1)</f>
        <v/>
      </c>
      <c r="D10" s="6">
        <f>COUNTIFS(Contracts!$G$2:$G$10000,"&gt;="&amp;$B$4,Contracts!$G$2:$G$10000,"&lt;="&amp;$B$5,Contracts!$H$2:$H$10000,1)</f>
        <v/>
      </c>
      <c r="E10" s="6">
        <f>IFERROR(C10/B10,0)</f>
        <v/>
      </c>
      <c r="F10" s="7" t="n"/>
      <c r="G10" s="7" t="n"/>
    </row>
    <row r="11">
      <c r="A11" s="5" t="inlineStr">
        <is>
          <t>Procurement</t>
        </is>
      </c>
      <c r="B11" s="6">
        <f>SUMIFS(Procurement!$F$2:$F$10000,Procurement!$E$2:$E$10000,"&gt;="&amp;$B$4,Procurement!$E$2:$E$10000,"&lt;="&amp;$B$5)</f>
        <v/>
      </c>
      <c r="C11" s="6">
        <f>SUMIFS(Procurement!$G$2:$G$10000,Procurement!$E$2:$E$10000,"&gt;="&amp;$B$4,Procurement!$E$2:$E$10000,"&lt;="&amp;$B$5)</f>
        <v/>
      </c>
      <c r="D11" s="6">
        <f>COUNTIFS(Procurement!$E$2:$E$10000,"&gt;="&amp;$B$4,Procurement!$E$2:$E$10000,"&lt;="&amp;$B$5)</f>
        <v/>
      </c>
      <c r="E11" s="6">
        <f>IFERROR(C11/B11,0)</f>
        <v/>
      </c>
      <c r="F11" s="7" t="n"/>
      <c r="G11" s="7" t="n"/>
    </row>
    <row r="12">
      <c r="A12" s="5" t="inlineStr">
        <is>
          <t>Balance</t>
        </is>
      </c>
      <c r="B12" s="6">
        <f>SUMIFS(Balance!$F$2:$F$10000,Balance!$E$2:$E$10000,"&gt;="&amp;$B$4,Balance!$E$2:$E$10000,"&lt;="&amp;$B$5)</f>
        <v/>
      </c>
      <c r="C12" s="6" t="n">
        <v>0</v>
      </c>
      <c r="D12" s="6">
        <f>COUNTIFS(Balance!$E$2:$E$10000,"&gt;="&amp;$B$4,Balance!$E$2:$E$10000,"&lt;="&amp;$B$5)</f>
        <v/>
      </c>
      <c r="E12" s="6" t="n">
        <v>0</v>
      </c>
      <c r="F12" s="7" t="n"/>
      <c r="G12" s="7" t="n"/>
    </row>
    <row r="13">
      <c r="A13" s="10" t="inlineStr">
        <is>
          <t>Overall</t>
        </is>
      </c>
      <c r="B13" s="11">
        <f>SUM(B10:B12)</f>
        <v/>
      </c>
      <c r="C13" s="11">
        <f>SUM(C10:C12)</f>
        <v/>
      </c>
      <c r="D13" s="11">
        <f>SUM(D10:D12)</f>
        <v/>
      </c>
      <c r="E13" s="11">
        <f>IFERROR(C13/B13,0)</f>
        <v/>
      </c>
      <c r="F13" s="7" t="n"/>
      <c r="G13" s="7" t="n"/>
    </row>
    <row r="14">
      <c r="A14" s="5" t="n"/>
      <c r="B14" s="6" t="n"/>
      <c r="C14" s="6" t="n"/>
      <c r="D14" s="6" t="n"/>
      <c r="E14" s="6" t="n"/>
      <c r="F14" s="7" t="n"/>
      <c r="G14" s="7" t="n"/>
    </row>
    <row r="15">
      <c r="A15" s="2" t="n"/>
      <c r="B15" s="7" t="n"/>
      <c r="C15" s="7" t="n"/>
      <c r="D15" s="7" t="n"/>
      <c r="E15" s="7" t="n"/>
      <c r="F15" s="7" t="n"/>
      <c r="G15" s="7" t="n"/>
    </row>
    <row r="16">
      <c r="A16" s="2" t="n"/>
      <c r="B16" s="7" t="n"/>
      <c r="C16" s="7" t="n"/>
      <c r="D16" s="7" t="n"/>
      <c r="E16" s="7" t="n"/>
      <c r="F16" s="7" t="n"/>
      <c r="G16" s="7" t="n"/>
    </row>
    <row r="17">
      <c r="A17" s="4" t="inlineStr">
        <is>
          <t>TES / Non-TES Awards</t>
        </is>
      </c>
      <c r="B17" s="12" t="n"/>
      <c r="C17" s="12" t="n"/>
      <c r="D17" s="12" t="n"/>
      <c r="E17" s="12" t="n"/>
      <c r="F17" s="12" t="n"/>
      <c r="G17" s="12" t="n"/>
    </row>
    <row r="18">
      <c r="A18" s="8" t="inlineStr">
        <is>
          <t>Classification</t>
        </is>
      </c>
      <c r="B18" s="9" t="inlineStr">
        <is>
          <t>Plan / Budget</t>
        </is>
      </c>
      <c r="C18" s="9" t="inlineStr">
        <is>
          <t>Achieved</t>
        </is>
      </c>
      <c r="D18" s="9" t="inlineStr">
        <is>
          <t>Achievement %</t>
        </is>
      </c>
      <c r="E18" s="7" t="n"/>
      <c r="F18" s="7" t="n"/>
      <c r="G18" s="7" t="n"/>
    </row>
    <row r="19">
      <c r="A19" s="5" t="inlineStr">
        <is>
          <t>TES</t>
        </is>
      </c>
      <c r="B19" s="6">
        <f>SUMIFS(Contracts!$I$2:$I$10000,Contracts!$G$2:$G$10000,"&gt;="&amp;$B$4,Contracts!$G$2:$G$10000,"&lt;="&amp;$B$5,Contracts!$H$2:$H$10000,1,Contracts!$E$2:$E$10000,"TES")+SUMIFS(Procurement!$F$2:$F$10000,Procurement!$E$2:$E$10000,"&gt;="&amp;$B$4,Procurement!$E$2:$E$10000,"&lt;="&amp;$B$5,Procurement!$D$2:$D$10000,"TES")</f>
        <v/>
      </c>
      <c r="C19" s="6">
        <f>SUMIFS(Contracts!$J$2:$J$10000,Contracts!$G$2:$G$10000,"&gt;="&amp;$B$4,Contracts!$G$2:$G$10000,"&lt;="&amp;$B$5,Contracts!$H$2:$H$10000,1,Contracts!$E$2:$E$10000,"TES")+SUMIFS(Procurement!$G$2:$G$10000,Procurement!$E$2:$E$10000,"&gt;="&amp;$B$4,Procurement!$E$2:$E$10000,"&lt;="&amp;$B$5,Procurement!$D$2:$D$10000,"TES")</f>
        <v/>
      </c>
      <c r="D19" s="6">
        <f>IFERROR(C19/B19,0)</f>
        <v/>
      </c>
      <c r="E19" s="7" t="n"/>
      <c r="F19" s="7" t="n"/>
      <c r="G19" s="7" t="n"/>
    </row>
    <row r="20">
      <c r="A20" s="5" t="inlineStr">
        <is>
          <t>Non-TES</t>
        </is>
      </c>
      <c r="B20" s="6">
        <f>SUMIFS(Contracts!$I$2:$I$10000,Contracts!$G$2:$G$10000,"&gt;="&amp;$B$4,Contracts!$G$2:$G$10000,"&lt;="&amp;$B$5,Contracts!$H$2:$H$10000,1,Contracts!$E$2:$E$10000,"Non-TES")+SUMIFS(Procurement!$F$2:$F$10000,Procurement!$E$2:$E$10000,"&gt;="&amp;$B$4,Procurement!$E$2:$E$10000,"&lt;="&amp;$B$5,Procurement!$D$2:$D$10000,"Non-TES")</f>
        <v/>
      </c>
      <c r="C20" s="6">
        <f>SUMIFS(Contracts!$J$2:$J$10000,Contracts!$G$2:$G$10000,"&gt;="&amp;$B$4,Contracts!$G$2:$G$10000,"&lt;="&amp;$B$5,Contracts!$H$2:$H$10000,1,Contracts!$E$2:$E$10000,"Non-TES")+SUMIFS(Procurement!$G$2:$G$10000,Procurement!$E$2:$E$10000,"&gt;="&amp;$B$4,Procurement!$E$2:$E$10000,"&lt;="&amp;$B$5,Procurement!$D$2:$D$10000,"Non-TES")</f>
        <v/>
      </c>
      <c r="D20" s="6">
        <f>IFERROR(C20/B20,0)</f>
        <v/>
      </c>
      <c r="E20" s="7" t="n"/>
      <c r="F20" s="7" t="n"/>
      <c r="G20" s="7" t="n"/>
    </row>
    <row r="21">
      <c r="A21" s="13" t="inlineStr">
        <is>
          <t>Overall awards include records where TES / Non-TES is not filled.</t>
        </is>
      </c>
      <c r="B21" s="7" t="n"/>
      <c r="C21" s="7" t="n"/>
      <c r="D21" s="7" t="n"/>
      <c r="E21" s="7" t="n"/>
      <c r="F21" s="7" t="n"/>
      <c r="G21" s="7" t="n"/>
    </row>
    <row r="22">
      <c r="A22" s="2" t="n"/>
      <c r="B22" s="7" t="n"/>
      <c r="C22" s="7" t="n"/>
      <c r="D22" s="7" t="n"/>
      <c r="E22" s="7" t="n"/>
      <c r="F22" s="7" t="n"/>
      <c r="G22" s="7" t="n"/>
    </row>
    <row r="23">
      <c r="A23" s="2" t="n"/>
      <c r="B23" s="7" t="n"/>
      <c r="C23" s="7" t="n"/>
      <c r="D23" s="7" t="n"/>
      <c r="E23" s="7" t="n"/>
      <c r="F23" s="7" t="n"/>
      <c r="G23" s="7" t="n"/>
    </row>
    <row r="24">
      <c r="A24" s="4" t="inlineStr">
        <is>
          <t>BOQ and Design Dependencies — Overall Balance</t>
        </is>
      </c>
      <c r="B24" s="12" t="n"/>
      <c r="C24" s="12" t="n"/>
      <c r="D24" s="12" t="n"/>
      <c r="E24" s="12" t="n"/>
      <c r="F24" s="12" t="n"/>
      <c r="G24" s="12" t="n"/>
    </row>
    <row r="25">
      <c r="A25" s="8" t="inlineStr">
        <is>
          <t>Team</t>
        </is>
      </c>
      <c r="B25" s="9" t="inlineStr">
        <is>
          <t>Dependency</t>
        </is>
      </c>
      <c r="C25" s="9" t="inlineStr">
        <is>
          <t>Planned Awards</t>
        </is>
      </c>
      <c r="D25" s="9" t="inlineStr">
        <is>
          <t>Recorded PTE</t>
        </is>
      </c>
      <c r="E25" s="7" t="n"/>
      <c r="F25" s="7" t="n"/>
      <c r="G25" s="7" t="n"/>
    </row>
    <row r="26">
      <c r="A26" s="5" t="inlineStr">
        <is>
          <t>C&amp;B</t>
        </is>
      </c>
      <c r="B26" s="6" t="inlineStr">
        <is>
          <t>BOQ</t>
        </is>
      </c>
      <c r="C26" s="6">
        <f>COUNTIF(Balance!$J$2:$J$10000,"C&amp;B - BOQ")</f>
        <v/>
      </c>
      <c r="D26" s="6">
        <f>SUMIF(Balance!$J$2:$J$10000,"C&amp;B - BOQ",Balance!$F$2:$F$10000)</f>
        <v/>
      </c>
      <c r="E26" s="7" t="n"/>
      <c r="F26" s="7" t="n"/>
      <c r="G26" s="7" t="n"/>
    </row>
    <row r="27">
      <c r="A27" s="5" t="inlineStr">
        <is>
          <t>Design</t>
        </is>
      </c>
      <c r="B27" s="6" t="inlineStr">
        <is>
          <t>BOQ</t>
        </is>
      </c>
      <c r="C27" s="6">
        <f>COUNTIF(Balance!$J$2:$J$10000,"Design - BOQ")</f>
        <v/>
      </c>
      <c r="D27" s="6">
        <f>SUMIF(Balance!$J$2:$J$10000,"Design - BOQ",Balance!$F$2:$F$10000)</f>
        <v/>
      </c>
      <c r="E27" s="7" t="n"/>
      <c r="F27" s="7" t="n"/>
      <c r="G27" s="7" t="n"/>
    </row>
    <row r="28">
      <c r="A28" s="5" t="inlineStr">
        <is>
          <t>Design</t>
        </is>
      </c>
      <c r="B28" s="6" t="inlineStr">
        <is>
          <t>Drawing</t>
        </is>
      </c>
      <c r="C28" s="6">
        <f>COUNTIF(Balance!$J$2:$J$10000,"Design - Drawing")</f>
        <v/>
      </c>
      <c r="D28" s="6">
        <f>SUMIF(Balance!$J$2:$J$10000,"Design - Drawing",Balance!$F$2:$F$10000)</f>
        <v/>
      </c>
      <c r="E28" s="7" t="n"/>
      <c r="F28" s="7" t="n"/>
      <c r="G28" s="7" t="n"/>
    </row>
    <row r="29">
      <c r="A29" s="2" t="n"/>
      <c r="B29" s="7" t="n"/>
      <c r="C29" s="7" t="n"/>
      <c r="D29" s="7" t="n"/>
      <c r="E29" s="7" t="n"/>
      <c r="F29" s="7" t="n"/>
      <c r="G29" s="7" t="n"/>
    </row>
    <row r="30">
      <c r="A30" s="2" t="n"/>
      <c r="B30" s="7" t="n"/>
      <c r="C30" s="7" t="n"/>
      <c r="D30" s="7" t="n"/>
      <c r="E30" s="7" t="n"/>
      <c r="F30" s="7" t="n"/>
      <c r="G30" s="7" t="n"/>
    </row>
    <row r="31">
      <c r="A31" s="2" t="n"/>
      <c r="B31" s="7" t="n"/>
      <c r="C31" s="7" t="n"/>
      <c r="D31" s="7" t="n"/>
      <c r="E31" s="7" t="n"/>
      <c r="F31" s="7" t="n"/>
      <c r="G31" s="7" t="n"/>
    </row>
    <row r="32">
      <c r="A32" s="2" t="n"/>
      <c r="B32" s="7" t="n"/>
      <c r="C32" s="7" t="n"/>
      <c r="D32" s="7" t="n"/>
      <c r="E32" s="7" t="n"/>
      <c r="F32" s="7" t="n"/>
      <c r="G32" s="7" t="n"/>
    </row>
    <row r="33">
      <c r="A33" s="4" t="inlineStr">
        <is>
          <t>Monthly Plan vs Achieved</t>
        </is>
      </c>
      <c r="B33" s="12" t="n"/>
      <c r="C33" s="12" t="n"/>
      <c r="D33" s="12" t="n"/>
      <c r="E33" s="12" t="n"/>
      <c r="F33" s="12" t="n"/>
      <c r="G33" s="12" t="n"/>
    </row>
    <row r="34">
      <c r="A34" s="14" t="inlineStr">
        <is>
          <t>Month</t>
        </is>
      </c>
      <c r="B34" s="15" t="inlineStr">
        <is>
          <t>Plan / Budget</t>
        </is>
      </c>
      <c r="C34" s="15" t="inlineStr">
        <is>
          <t>Achieved</t>
        </is>
      </c>
      <c r="D34" s="15" t="inlineStr">
        <is>
          <t>Balance PTE</t>
        </is>
      </c>
      <c r="E34" s="7" t="n"/>
      <c r="F34" s="7" t="n"/>
      <c r="G34" s="7" t="n"/>
    </row>
    <row r="35">
      <c r="A35" s="16" t="n">
        <v>46113</v>
      </c>
      <c r="B35" s="7">
        <f>SUMIFS(Contracts!$I$2:$I$10000,Contracts!$G$2:$G$10000,"&gt;="&amp;A35,Contracts!$G$2:$G$10000,"&lt;="&amp;EOMONTH(A35,0),Contracts!$H$2:$H$10000,1)+SUMIFS(Procurement!$F$2:$F$10000,Procurement!$E$2:$E$10000,"&gt;="&amp;A35,Procurement!$E$2:$E$10000,"&lt;="&amp;EOMONTH(A35,0))</f>
        <v/>
      </c>
      <c r="C35" s="7">
        <f>SUMIFS(Contracts!$J$2:$J$10000,Contracts!$G$2:$G$10000,"&gt;="&amp;A35,Contracts!$G$2:$G$10000,"&lt;="&amp;EOMONTH(A35,0),Contracts!$H$2:$H$10000,1)+SUMIFS(Procurement!$G$2:$G$10000,Procurement!$E$2:$E$10000,"&gt;="&amp;A35,Procurement!$E$2:$E$10000,"&lt;="&amp;EOMONTH(A35,0))</f>
        <v/>
      </c>
      <c r="D35" s="7">
        <f>SUMIFS(Balance!$F$2:$F$10000,Balance!$E$2:$E$10000,"&gt;="&amp;A35,Balance!$E$2:$E$10000,"&lt;="&amp;EOMONTH(A35,0))</f>
        <v/>
      </c>
      <c r="E35" s="7" t="n"/>
      <c r="F35" s="7" t="n"/>
      <c r="G35" s="7" t="n"/>
    </row>
    <row r="36">
      <c r="A36" s="16" t="n">
        <v>46143</v>
      </c>
      <c r="B36" s="7">
        <f>SUMIFS(Contracts!$I$2:$I$10000,Contracts!$G$2:$G$10000,"&gt;="&amp;A36,Contracts!$G$2:$G$10000,"&lt;="&amp;EOMONTH(A36,0),Contracts!$H$2:$H$10000,1)+SUMIFS(Procurement!$F$2:$F$10000,Procurement!$E$2:$E$10000,"&gt;="&amp;A36,Procurement!$E$2:$E$10000,"&lt;="&amp;EOMONTH(A36,0))</f>
        <v/>
      </c>
      <c r="C36" s="7">
        <f>SUMIFS(Contracts!$J$2:$J$10000,Contracts!$G$2:$G$10000,"&gt;="&amp;A36,Contracts!$G$2:$G$10000,"&lt;="&amp;EOMONTH(A36,0),Contracts!$H$2:$H$10000,1)+SUMIFS(Procurement!$G$2:$G$10000,Procurement!$E$2:$E$10000,"&gt;="&amp;A36,Procurement!$E$2:$E$10000,"&lt;="&amp;EOMONTH(A36,0))</f>
        <v/>
      </c>
      <c r="D36" s="7">
        <f>SUMIFS(Balance!$F$2:$F$10000,Balance!$E$2:$E$10000,"&gt;="&amp;A36,Balance!$E$2:$E$10000,"&lt;="&amp;EOMONTH(A36,0))</f>
        <v/>
      </c>
      <c r="E36" s="7" t="n"/>
      <c r="F36" s="7" t="n"/>
      <c r="G36" s="7" t="n"/>
    </row>
    <row r="37">
      <c r="A37" s="16" t="n">
        <v>46174</v>
      </c>
      <c r="B37" s="7">
        <f>SUMIFS(Contracts!$I$2:$I$10000,Contracts!$G$2:$G$10000,"&gt;="&amp;A37,Contracts!$G$2:$G$10000,"&lt;="&amp;EOMONTH(A37,0),Contracts!$H$2:$H$10000,1)+SUMIFS(Procurement!$F$2:$F$10000,Procurement!$E$2:$E$10000,"&gt;="&amp;A37,Procurement!$E$2:$E$10000,"&lt;="&amp;EOMONTH(A37,0))</f>
        <v/>
      </c>
      <c r="C37" s="7">
        <f>SUMIFS(Contracts!$J$2:$J$10000,Contracts!$G$2:$G$10000,"&gt;="&amp;A37,Contracts!$G$2:$G$10000,"&lt;="&amp;EOMONTH(A37,0),Contracts!$H$2:$H$10000,1)+SUMIFS(Procurement!$G$2:$G$10000,Procurement!$E$2:$E$10000,"&gt;="&amp;A37,Procurement!$E$2:$E$10000,"&lt;="&amp;EOMONTH(A37,0))</f>
        <v/>
      </c>
      <c r="D37" s="7">
        <f>SUMIFS(Balance!$F$2:$F$10000,Balance!$E$2:$E$10000,"&gt;="&amp;A37,Balance!$E$2:$E$10000,"&lt;="&amp;EOMONTH(A37,0))</f>
        <v/>
      </c>
      <c r="E37" s="7" t="n"/>
      <c r="F37" s="7" t="n"/>
      <c r="G37" s="7" t="n"/>
    </row>
    <row r="38">
      <c r="A38" s="16" t="n">
        <v>46204</v>
      </c>
      <c r="B38" s="7">
        <f>SUMIFS(Contracts!$I$2:$I$10000,Contracts!$G$2:$G$10000,"&gt;="&amp;A38,Contracts!$G$2:$G$10000,"&lt;="&amp;EOMONTH(A38,0),Contracts!$H$2:$H$10000,1)+SUMIFS(Procurement!$F$2:$F$10000,Procurement!$E$2:$E$10000,"&gt;="&amp;A38,Procurement!$E$2:$E$10000,"&lt;="&amp;EOMONTH(A38,0))</f>
        <v/>
      </c>
      <c r="C38" s="7">
        <f>SUMIFS(Contracts!$J$2:$J$10000,Contracts!$G$2:$G$10000,"&gt;="&amp;A38,Contracts!$G$2:$G$10000,"&lt;="&amp;EOMONTH(A38,0),Contracts!$H$2:$H$10000,1)+SUMIFS(Procurement!$G$2:$G$10000,Procurement!$E$2:$E$10000,"&gt;="&amp;A38,Procurement!$E$2:$E$10000,"&lt;="&amp;EOMONTH(A38,0))</f>
        <v/>
      </c>
      <c r="D38" s="7">
        <f>SUMIFS(Balance!$F$2:$F$10000,Balance!$E$2:$E$10000,"&gt;="&amp;A38,Balance!$E$2:$E$10000,"&lt;="&amp;EOMONTH(A38,0))</f>
        <v/>
      </c>
      <c r="E38" s="7" t="n"/>
      <c r="F38" s="7" t="n"/>
      <c r="G38" s="7" t="n"/>
    </row>
    <row r="39">
      <c r="A39" s="16" t="n">
        <v>46235</v>
      </c>
      <c r="B39" s="7">
        <f>SUMIFS(Contracts!$I$2:$I$10000,Contracts!$G$2:$G$10000,"&gt;="&amp;A39,Contracts!$G$2:$G$10000,"&lt;="&amp;EOMONTH(A39,0),Contracts!$H$2:$H$10000,1)+SUMIFS(Procurement!$F$2:$F$10000,Procurement!$E$2:$E$10000,"&gt;="&amp;A39,Procurement!$E$2:$E$10000,"&lt;="&amp;EOMONTH(A39,0))</f>
        <v/>
      </c>
      <c r="C39" s="7">
        <f>SUMIFS(Contracts!$J$2:$J$10000,Contracts!$G$2:$G$10000,"&gt;="&amp;A39,Contracts!$G$2:$G$10000,"&lt;="&amp;EOMONTH(A39,0),Contracts!$H$2:$H$10000,1)+SUMIFS(Procurement!$G$2:$G$10000,Procurement!$E$2:$E$10000,"&gt;="&amp;A39,Procurement!$E$2:$E$10000,"&lt;="&amp;EOMONTH(A39,0))</f>
        <v/>
      </c>
      <c r="D39" s="7">
        <f>SUMIFS(Balance!$F$2:$F$10000,Balance!$E$2:$E$10000,"&gt;="&amp;A39,Balance!$E$2:$E$10000,"&lt;="&amp;EOMONTH(A39,0))</f>
        <v/>
      </c>
      <c r="E39" s="7" t="n"/>
      <c r="F39" s="7" t="n"/>
      <c r="G39" s="7" t="n"/>
    </row>
    <row r="40">
      <c r="A40" s="16" t="n">
        <v>46266</v>
      </c>
      <c r="B40" s="7">
        <f>SUMIFS(Contracts!$I$2:$I$10000,Contracts!$G$2:$G$10000,"&gt;="&amp;A40,Contracts!$G$2:$G$10000,"&lt;="&amp;EOMONTH(A40,0),Contracts!$H$2:$H$10000,1)+SUMIFS(Procurement!$F$2:$F$10000,Procurement!$E$2:$E$10000,"&gt;="&amp;A40,Procurement!$E$2:$E$10000,"&lt;="&amp;EOMONTH(A40,0))</f>
        <v/>
      </c>
      <c r="C40" s="7">
        <f>SUMIFS(Contracts!$J$2:$J$10000,Contracts!$G$2:$G$10000,"&gt;="&amp;A40,Contracts!$G$2:$G$10000,"&lt;="&amp;EOMONTH(A40,0),Contracts!$H$2:$H$10000,1)+SUMIFS(Procurement!$G$2:$G$10000,Procurement!$E$2:$E$10000,"&gt;="&amp;A40,Procurement!$E$2:$E$10000,"&lt;="&amp;EOMONTH(A40,0))</f>
        <v/>
      </c>
      <c r="D40" s="7">
        <f>SUMIFS(Balance!$F$2:$F$10000,Balance!$E$2:$E$10000,"&gt;="&amp;A40,Balance!$E$2:$E$10000,"&lt;="&amp;EOMONTH(A40,0))</f>
        <v/>
      </c>
      <c r="E40" s="7" t="n"/>
      <c r="F40" s="7" t="n"/>
      <c r="G40" s="7" t="n"/>
    </row>
    <row r="41">
      <c r="A41" s="16" t="n">
        <v>46296</v>
      </c>
      <c r="B41" s="7">
        <f>SUMIFS(Contracts!$I$2:$I$10000,Contracts!$G$2:$G$10000,"&gt;="&amp;A41,Contracts!$G$2:$G$10000,"&lt;="&amp;EOMONTH(A41,0),Contracts!$H$2:$H$10000,1)+SUMIFS(Procurement!$F$2:$F$10000,Procurement!$E$2:$E$10000,"&gt;="&amp;A41,Procurement!$E$2:$E$10000,"&lt;="&amp;EOMONTH(A41,0))</f>
        <v/>
      </c>
      <c r="C41" s="7">
        <f>SUMIFS(Contracts!$J$2:$J$10000,Contracts!$G$2:$G$10000,"&gt;="&amp;A41,Contracts!$G$2:$G$10000,"&lt;="&amp;EOMONTH(A41,0),Contracts!$H$2:$H$10000,1)+SUMIFS(Procurement!$G$2:$G$10000,Procurement!$E$2:$E$10000,"&gt;="&amp;A41,Procurement!$E$2:$E$10000,"&lt;="&amp;EOMONTH(A41,0))</f>
        <v/>
      </c>
      <c r="D41" s="7">
        <f>SUMIFS(Balance!$F$2:$F$10000,Balance!$E$2:$E$10000,"&gt;="&amp;A41,Balance!$E$2:$E$10000,"&lt;="&amp;EOMONTH(A41,0))</f>
        <v/>
      </c>
      <c r="E41" s="7" t="n"/>
      <c r="F41" s="7" t="n"/>
      <c r="G41" s="7" t="n"/>
    </row>
    <row r="42">
      <c r="A42" s="16" t="n">
        <v>46327</v>
      </c>
      <c r="B42" s="7">
        <f>SUMIFS(Contracts!$I$2:$I$10000,Contracts!$G$2:$G$10000,"&gt;="&amp;A42,Contracts!$G$2:$G$10000,"&lt;="&amp;EOMONTH(A42,0),Contracts!$H$2:$H$10000,1)+SUMIFS(Procurement!$F$2:$F$10000,Procurement!$E$2:$E$10000,"&gt;="&amp;A42,Procurement!$E$2:$E$10000,"&lt;="&amp;EOMONTH(A42,0))</f>
        <v/>
      </c>
      <c r="C42" s="7">
        <f>SUMIFS(Contracts!$J$2:$J$10000,Contracts!$G$2:$G$10000,"&gt;="&amp;A42,Contracts!$G$2:$G$10000,"&lt;="&amp;EOMONTH(A42,0),Contracts!$H$2:$H$10000,1)+SUMIFS(Procurement!$G$2:$G$10000,Procurement!$E$2:$E$10000,"&gt;="&amp;A42,Procurement!$E$2:$E$10000,"&lt;="&amp;EOMONTH(A42,0))</f>
        <v/>
      </c>
      <c r="D42" s="7">
        <f>SUMIFS(Balance!$F$2:$F$10000,Balance!$E$2:$E$10000,"&gt;="&amp;A42,Balance!$E$2:$E$10000,"&lt;="&amp;EOMONTH(A42,0))</f>
        <v/>
      </c>
      <c r="E42" s="7" t="n"/>
      <c r="F42" s="7" t="n"/>
      <c r="G42" s="7" t="n"/>
    </row>
    <row r="43">
      <c r="A43" s="16" t="n">
        <v>46357</v>
      </c>
      <c r="B43" s="7">
        <f>SUMIFS(Contracts!$I$2:$I$10000,Contracts!$G$2:$G$10000,"&gt;="&amp;A43,Contracts!$G$2:$G$10000,"&lt;="&amp;EOMONTH(A43,0),Contracts!$H$2:$H$10000,1)+SUMIFS(Procurement!$F$2:$F$10000,Procurement!$E$2:$E$10000,"&gt;="&amp;A43,Procurement!$E$2:$E$10000,"&lt;="&amp;EOMONTH(A43,0))</f>
        <v/>
      </c>
      <c r="C43" s="7">
        <f>SUMIFS(Contracts!$J$2:$J$10000,Contracts!$G$2:$G$10000,"&gt;="&amp;A43,Contracts!$G$2:$G$10000,"&lt;="&amp;EOMONTH(A43,0),Contracts!$H$2:$H$10000,1)+SUMIFS(Procurement!$G$2:$G$10000,Procurement!$E$2:$E$10000,"&gt;="&amp;A43,Procurement!$E$2:$E$10000,"&lt;="&amp;EOMONTH(A43,0))</f>
        <v/>
      </c>
      <c r="D43" s="7">
        <f>SUMIFS(Balance!$F$2:$F$10000,Balance!$E$2:$E$10000,"&gt;="&amp;A43,Balance!$E$2:$E$10000,"&lt;="&amp;EOMONTH(A43,0))</f>
        <v/>
      </c>
      <c r="E43" s="7" t="n"/>
      <c r="F43" s="7" t="n"/>
      <c r="G43" s="7" t="n"/>
    </row>
    <row r="44">
      <c r="A44" s="16" t="n">
        <v>46388</v>
      </c>
      <c r="B44" s="7">
        <f>SUMIFS(Contracts!$I$2:$I$10000,Contracts!$G$2:$G$10000,"&gt;="&amp;A44,Contracts!$G$2:$G$10000,"&lt;="&amp;EOMONTH(A44,0),Contracts!$H$2:$H$10000,1)+SUMIFS(Procurement!$F$2:$F$10000,Procurement!$E$2:$E$10000,"&gt;="&amp;A44,Procurement!$E$2:$E$10000,"&lt;="&amp;EOMONTH(A44,0))</f>
        <v/>
      </c>
      <c r="C44" s="7">
        <f>SUMIFS(Contracts!$J$2:$J$10000,Contracts!$G$2:$G$10000,"&gt;="&amp;A44,Contracts!$G$2:$G$10000,"&lt;="&amp;EOMONTH(A44,0),Contracts!$H$2:$H$10000,1)+SUMIFS(Procurement!$G$2:$G$10000,Procurement!$E$2:$E$10000,"&gt;="&amp;A44,Procurement!$E$2:$E$10000,"&lt;="&amp;EOMONTH(A44,0))</f>
        <v/>
      </c>
      <c r="D44" s="7">
        <f>SUMIFS(Balance!$F$2:$F$10000,Balance!$E$2:$E$10000,"&gt;="&amp;A44,Balance!$E$2:$E$10000,"&lt;="&amp;EOMONTH(A44,0))</f>
        <v/>
      </c>
      <c r="E44" s="7" t="n"/>
      <c r="F44" s="7" t="n"/>
      <c r="G44" s="7" t="n"/>
    </row>
    <row r="45">
      <c r="A45" s="16" t="n">
        <v>46419</v>
      </c>
      <c r="B45" s="7">
        <f>SUMIFS(Contracts!$I$2:$I$10000,Contracts!$G$2:$G$10000,"&gt;="&amp;A45,Contracts!$G$2:$G$10000,"&lt;="&amp;EOMONTH(A45,0),Contracts!$H$2:$H$10000,1)+SUMIFS(Procurement!$F$2:$F$10000,Procurement!$E$2:$E$10000,"&gt;="&amp;A45,Procurement!$E$2:$E$10000,"&lt;="&amp;EOMONTH(A45,0))</f>
        <v/>
      </c>
      <c r="C45" s="7">
        <f>SUMIFS(Contracts!$J$2:$J$10000,Contracts!$G$2:$G$10000,"&gt;="&amp;A45,Contracts!$G$2:$G$10000,"&lt;="&amp;EOMONTH(A45,0),Contracts!$H$2:$H$10000,1)+SUMIFS(Procurement!$G$2:$G$10000,Procurement!$E$2:$E$10000,"&gt;="&amp;A45,Procurement!$E$2:$E$10000,"&lt;="&amp;EOMONTH(A45,0))</f>
        <v/>
      </c>
      <c r="D45" s="7">
        <f>SUMIFS(Balance!$F$2:$F$10000,Balance!$E$2:$E$10000,"&gt;="&amp;A45,Balance!$E$2:$E$10000,"&lt;="&amp;EOMONTH(A45,0))</f>
        <v/>
      </c>
      <c r="E45" s="7" t="n"/>
      <c r="F45" s="7" t="n"/>
      <c r="G45" s="7" t="n"/>
    </row>
    <row r="46">
      <c r="A46" s="16" t="n">
        <v>46447</v>
      </c>
      <c r="B46" s="7">
        <f>SUMIFS(Contracts!$I$2:$I$10000,Contracts!$G$2:$G$10000,"&gt;="&amp;A46,Contracts!$G$2:$G$10000,"&lt;="&amp;EOMONTH(A46,0),Contracts!$H$2:$H$10000,1)+SUMIFS(Procurement!$F$2:$F$10000,Procurement!$E$2:$E$10000,"&gt;="&amp;A46,Procurement!$E$2:$E$10000,"&lt;="&amp;EOMONTH(A46,0))</f>
        <v/>
      </c>
      <c r="C46" s="7">
        <f>SUMIFS(Contracts!$J$2:$J$10000,Contracts!$G$2:$G$10000,"&gt;="&amp;A46,Contracts!$G$2:$G$10000,"&lt;="&amp;EOMONTH(A46,0),Contracts!$H$2:$H$10000,1)+SUMIFS(Procurement!$G$2:$G$10000,Procurement!$E$2:$E$10000,"&gt;="&amp;A46,Procurement!$E$2:$E$10000,"&lt;="&amp;EOMONTH(A46,0))</f>
        <v/>
      </c>
      <c r="D46" s="7">
        <f>SUMIFS(Balance!$F$2:$F$10000,Balance!$E$2:$E$10000,"&gt;="&amp;A46,Balance!$E$2:$E$10000,"&lt;="&amp;EOMONTH(A46,0))</f>
        <v/>
      </c>
      <c r="E46" s="7" t="n"/>
      <c r="F46" s="7" t="n"/>
      <c r="G46" s="7" t="n"/>
    </row>
    <row r="47">
      <c r="A47" s="2" t="n"/>
      <c r="B47" s="7" t="n"/>
      <c r="C47" s="7" t="n"/>
      <c r="D47" s="7" t="n"/>
      <c r="E47" s="7" t="n"/>
      <c r="F47" s="7" t="n"/>
      <c r="G47" s="7" t="n"/>
    </row>
    <row r="48">
      <c r="A48" s="2" t="n"/>
      <c r="B48" s="7" t="n"/>
      <c r="C48" s="7" t="n"/>
      <c r="D48" s="7" t="n"/>
      <c r="E48" s="7" t="n"/>
      <c r="F48" s="7" t="n"/>
      <c r="G48" s="7" t="n"/>
    </row>
    <row r="49">
      <c r="A49" s="17" t="inlineStr">
        <is>
          <t>Calculation basis</t>
        </is>
      </c>
      <c r="B49" s="7" t="n"/>
      <c r="C49" s="7" t="n"/>
      <c r="D49" s="7" t="n"/>
      <c r="E49" s="7" t="n"/>
      <c r="F49" s="7" t="n"/>
      <c r="G49" s="7" t="n"/>
    </row>
    <row r="50">
      <c r="A50" s="2" t="inlineStr">
        <is>
          <t>Plan = unique awarded-IOM budget + unique procurement-IOM budget + recorded PTE for balance work scheduled in the selected period.</t>
        </is>
      </c>
    </row>
    <row r="51">
      <c r="A51" s="2" t="inlineStr">
        <is>
          <t>Achieved = unique contract award value + unique procurement award value. Multi-vendor procurement IOMs are counted once.</t>
        </is>
      </c>
    </row>
    <row r="52">
      <c r="A52" s="2" t="inlineStr">
        <is>
          <t>Update values in Contracts, Procurement or Balance tabs. Blank values are excluded and begin contributing automatically when filled.</t>
        </is>
      </c>
    </row>
    <row r="53">
      <c r="A53" s="2" t="n"/>
      <c r="B53" s="7" t="n"/>
      <c r="C53" s="7" t="n"/>
      <c r="D53" s="7" t="n"/>
      <c r="E53" s="7" t="n"/>
      <c r="F53" s="7" t="n"/>
      <c r="G53" s="7" t="n"/>
    </row>
    <row r="54">
      <c r="A54" s="2" t="n"/>
      <c r="B54" s="7" t="n"/>
      <c r="C54" s="7" t="n"/>
      <c r="D54" s="7" t="n"/>
      <c r="E54" s="7" t="n"/>
      <c r="F54" s="7" t="n"/>
      <c r="G54" s="7" t="n"/>
    </row>
    <row r="55">
      <c r="A55" s="2" t="n"/>
      <c r="B55" s="7" t="n"/>
      <c r="C55" s="7" t="n"/>
      <c r="D55" s="7" t="n"/>
      <c r="E55" s="7" t="n"/>
      <c r="F55" s="7" t="n"/>
      <c r="G55" s="7" t="n"/>
    </row>
    <row r="56">
      <c r="A56" s="2" t="n"/>
      <c r="B56" s="7" t="n"/>
      <c r="C56" s="7" t="n"/>
      <c r="D56" s="7" t="n"/>
      <c r="E56" s="7" t="n"/>
      <c r="F56" s="7" t="n"/>
      <c r="G56" s="7" t="n"/>
    </row>
    <row r="57">
      <c r="A57" s="2" t="n"/>
      <c r="B57" s="7" t="n"/>
      <c r="C57" s="7" t="n"/>
      <c r="D57" s="7" t="n"/>
      <c r="E57" s="7" t="n"/>
      <c r="F57" s="7" t="n"/>
      <c r="G57" s="7" t="n"/>
    </row>
    <row r="58">
      <c r="A58" s="2" t="n"/>
      <c r="B58" s="7" t="n"/>
      <c r="C58" s="7" t="n"/>
      <c r="D58" s="7" t="n"/>
      <c r="E58" s="7" t="n"/>
      <c r="F58" s="7" t="n"/>
      <c r="G58" s="7" t="n"/>
    </row>
    <row r="59">
      <c r="A59" s="2" t="n"/>
      <c r="B59" s="7" t="n"/>
      <c r="C59" s="7" t="n"/>
      <c r="D59" s="7" t="n"/>
      <c r="E59" s="7" t="n"/>
      <c r="F59" s="7" t="n"/>
      <c r="G59" s="7" t="n"/>
    </row>
  </sheetData>
  <mergeCells count="9">
    <mergeCell ref="A1:G1"/>
    <mergeCell ref="A17:G17"/>
    <mergeCell ref="A21:D21"/>
    <mergeCell ref="A50:G50"/>
    <mergeCell ref="A24:G24"/>
    <mergeCell ref="A52:G52"/>
    <mergeCell ref="A7:G7"/>
    <mergeCell ref="A33:G33"/>
    <mergeCell ref="A51:G51"/>
  </mergeCells>
  <conditionalFormatting sqref="E10:E13">
    <cfRule type="colorScale" priority="1">
      <colorScale>
        <cfvo type="num" val="0"/>
        <cfvo type="num" val="1"/>
        <cfvo type="num" val="1.5"/>
        <color rgb="00F8696B"/>
        <color rgb="00FFEB84"/>
        <color rgb="0063BE7B"/>
      </colorScale>
    </cfRule>
  </conditionalFormatting>
  <dataValidations count="1">
    <dataValidation sqref="B2" showDropDown="0" showInputMessage="0" showErrorMessage="0" allowBlank="0" type="list">
      <formula1>"YTD,QTD,MTD"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4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9" customWidth="1" min="10" max="10"/>
  </cols>
  <sheetData>
    <row r="1" ht="32" customHeight="1">
      <c r="A1" s="18" t="inlineStr">
        <is>
          <t>IOM Version</t>
        </is>
      </c>
      <c r="B1" s="18" t="inlineStr">
        <is>
          <t>Project</t>
        </is>
      </c>
      <c r="C1" s="18" t="inlineStr">
        <is>
          <t>Package</t>
        </is>
      </c>
      <c r="D1" s="18" t="inlineStr">
        <is>
          <t>Awarded Vendor</t>
        </is>
      </c>
      <c r="E1" s="18" t="inlineStr">
        <is>
          <t>TES / Non-TES</t>
        </is>
      </c>
      <c r="F1" s="18" t="inlineStr">
        <is>
          <t>Requisition Date</t>
        </is>
      </c>
      <c r="G1" s="18" t="inlineStr">
        <is>
          <t>Award Date</t>
        </is>
      </c>
      <c r="H1" s="18" t="inlineStr">
        <is>
          <t>Unique Flag</t>
        </is>
      </c>
      <c r="I1" s="18" t="inlineStr">
        <is>
          <t>Budget (₹ Cr)</t>
        </is>
      </c>
      <c r="J1" s="18" t="inlineStr">
        <is>
          <t>Unique Award (₹ Cr)</t>
        </is>
      </c>
    </row>
    <row r="2">
      <c r="A2" s="19" t="inlineStr">
        <is>
          <t>IOMC20260425052514</t>
        </is>
      </c>
      <c r="B2" s="19" t="inlineStr">
        <is>
          <t>Godrej Joka</t>
        </is>
      </c>
      <c r="C2" s="19" t="inlineStr">
        <is>
          <t>Civil - General</t>
        </is>
      </c>
      <c r="D2" s="19" t="inlineStr">
        <is>
          <t>Ada Metcon</t>
        </is>
      </c>
      <c r="E2" s="19" t="inlineStr">
        <is>
          <t>TES</t>
        </is>
      </c>
      <c r="F2" s="20" t="n">
        <v>46135</v>
      </c>
      <c r="G2" s="20" t="n">
        <v>46138</v>
      </c>
      <c r="H2" s="19" t="n">
        <v>1</v>
      </c>
      <c r="I2" s="21" t="n">
        <v>0.387</v>
      </c>
      <c r="J2" s="21" t="n">
        <v>0.322</v>
      </c>
    </row>
    <row r="3">
      <c r="A3" s="19" t="inlineStr">
        <is>
          <t>IOMC20260425063240</t>
        </is>
      </c>
      <c r="B3" s="19" t="inlineStr">
        <is>
          <t>Godrej Joka</t>
        </is>
      </c>
      <c r="C3" s="19" t="inlineStr">
        <is>
          <t>Miscellaneous / other</t>
        </is>
      </c>
      <c r="D3" s="19" t="inlineStr">
        <is>
          <t>Indicative Consultant India</t>
        </is>
      </c>
      <c r="E3" s="19" t="inlineStr">
        <is>
          <t>Non-TES</t>
        </is>
      </c>
      <c r="F3" s="20" t="n">
        <v>46135</v>
      </c>
      <c r="G3" s="20" t="n">
        <v>46138</v>
      </c>
      <c r="H3" s="19" t="n">
        <v>1</v>
      </c>
      <c r="I3" s="21" t="n">
        <v>0.018</v>
      </c>
      <c r="J3" s="21" t="n">
        <v>0.01374</v>
      </c>
    </row>
    <row r="4">
      <c r="A4" s="19" t="inlineStr">
        <is>
          <t>IOMC20260512064130</t>
        </is>
      </c>
      <c r="B4" s="19" t="inlineStr">
        <is>
          <t>Godrej Joka</t>
        </is>
      </c>
      <c r="C4" s="19" t="inlineStr">
        <is>
          <t>Finishing - Painting</t>
        </is>
      </c>
      <c r="D4" s="19" t="inlineStr">
        <is>
          <t>Maa Tara Enterprise</t>
        </is>
      </c>
      <c r="E4" s="19" t="inlineStr">
        <is>
          <t>TES</t>
        </is>
      </c>
      <c r="F4" s="20" t="n">
        <v>46128</v>
      </c>
      <c r="G4" s="20" t="n">
        <v>46155</v>
      </c>
      <c r="H4" s="19" t="n">
        <v>1</v>
      </c>
      <c r="I4" s="21" t="n">
        <v>1.35</v>
      </c>
      <c r="J4" s="21" t="n">
        <v>2.228</v>
      </c>
    </row>
    <row r="5">
      <c r="A5" s="19" t="inlineStr">
        <is>
          <t>IOMC20260512064130</t>
        </is>
      </c>
      <c r="B5" s="19" t="inlineStr">
        <is>
          <t>Godrej Joka</t>
        </is>
      </c>
      <c r="C5" s="19" t="inlineStr">
        <is>
          <t>Finishing - Painting</t>
        </is>
      </c>
      <c r="D5" s="19" t="inlineStr">
        <is>
          <t>MOZAMMEL SEKH</t>
        </is>
      </c>
      <c r="E5" s="19" t="inlineStr">
        <is>
          <t>TES</t>
        </is>
      </c>
      <c r="F5" s="20" t="n">
        <v>46128</v>
      </c>
      <c r="G5" s="20" t="n">
        <v>46155</v>
      </c>
      <c r="H5" s="19" t="n">
        <v>0</v>
      </c>
      <c r="I5" s="21" t="n">
        <v>1.35</v>
      </c>
      <c r="J5" s="21" t="n">
        <v>0</v>
      </c>
    </row>
    <row r="6">
      <c r="A6" s="19" t="inlineStr">
        <is>
          <t>IOMC20260520065412</t>
        </is>
      </c>
      <c r="B6" s="19" t="inlineStr">
        <is>
          <t>Godrej Joka</t>
        </is>
      </c>
      <c r="C6" s="19" t="inlineStr">
        <is>
          <t>Miscellaneous / other</t>
        </is>
      </c>
      <c r="D6" s="19" t="inlineStr">
        <is>
          <t>JRS CONSTRUCTION</t>
        </is>
      </c>
      <c r="E6" s="19" t="inlineStr">
        <is>
          <t>Non-TES</t>
        </is>
      </c>
      <c r="F6" s="20" t="n">
        <v>46129</v>
      </c>
      <c r="G6" s="20" t="n">
        <v>46163</v>
      </c>
      <c r="H6" s="19" t="n">
        <v>1</v>
      </c>
      <c r="I6" s="21" t="n">
        <v>0.213</v>
      </c>
      <c r="J6" s="21" t="n">
        <v>0.196</v>
      </c>
    </row>
    <row r="7">
      <c r="A7" s="19" t="inlineStr">
        <is>
          <t>IOMC20260529050740</t>
        </is>
      </c>
      <c r="B7" s="19" t="inlineStr">
        <is>
          <t>Godrej Joka</t>
        </is>
      </c>
      <c r="C7" s="19" t="inlineStr">
        <is>
          <t>Miscellaneous</t>
        </is>
      </c>
      <c r="D7" s="19" t="inlineStr">
        <is>
          <t>VISHAL JAISWAL</t>
        </is>
      </c>
      <c r="E7" s="19" t="inlineStr">
        <is>
          <t>Non-TES</t>
        </is>
      </c>
      <c r="F7" s="20" t="n">
        <v>46169</v>
      </c>
      <c r="G7" s="20" t="n">
        <v>46172</v>
      </c>
      <c r="H7" s="19" t="n">
        <v>1</v>
      </c>
      <c r="I7" s="21" t="n">
        <v>0.2175</v>
      </c>
      <c r="J7" s="21" t="n">
        <v>0.2175</v>
      </c>
    </row>
    <row r="8">
      <c r="A8" s="19" t="inlineStr">
        <is>
          <t>IOMC20260529051614</t>
        </is>
      </c>
      <c r="B8" s="19" t="inlineStr">
        <is>
          <t>Godrej Joka</t>
        </is>
      </c>
      <c r="C8" s="19" t="inlineStr">
        <is>
          <t>Miscellaneous</t>
        </is>
      </c>
      <c r="D8" s="19" t="inlineStr">
        <is>
          <t>KISHAN JAISWAL</t>
        </is>
      </c>
      <c r="E8" s="19" t="inlineStr">
        <is>
          <t>Non-TES</t>
        </is>
      </c>
      <c r="F8" s="20" t="n">
        <v>46169</v>
      </c>
      <c r="G8" s="20" t="n">
        <v>46172</v>
      </c>
      <c r="H8" s="19" t="n">
        <v>1</v>
      </c>
      <c r="I8" s="21" t="n">
        <v>0.2175</v>
      </c>
      <c r="J8" s="21" t="n">
        <v>0.2175</v>
      </c>
    </row>
    <row r="9">
      <c r="A9" s="19" t="inlineStr">
        <is>
          <t>IOMC20260603012523</t>
        </is>
      </c>
      <c r="B9" s="19" t="inlineStr">
        <is>
          <t>Godrej Joka</t>
        </is>
      </c>
      <c r="C9" s="19" t="inlineStr">
        <is>
          <t>Miscellaneous</t>
        </is>
      </c>
      <c r="D9" s="19" t="inlineStr">
        <is>
          <t>VISHAL JAISWAL</t>
        </is>
      </c>
      <c r="E9" s="19" t="inlineStr">
        <is>
          <t>Non-TES</t>
        </is>
      </c>
      <c r="F9" s="20" t="n">
        <v>46169</v>
      </c>
      <c r="G9" s="20" t="n">
        <v>46177</v>
      </c>
      <c r="H9" s="19" t="n">
        <v>1</v>
      </c>
      <c r="I9" s="21" t="n">
        <v>0.23925</v>
      </c>
      <c r="J9" s="21" t="n">
        <v>0.23925</v>
      </c>
    </row>
    <row r="10">
      <c r="A10" s="19" t="inlineStr">
        <is>
          <t>IOMC20260603013034</t>
        </is>
      </c>
      <c r="B10" s="19" t="inlineStr">
        <is>
          <t>Godrej Joka</t>
        </is>
      </c>
      <c r="C10" s="19" t="inlineStr">
        <is>
          <t>Miscellaneous</t>
        </is>
      </c>
      <c r="D10" s="19" t="inlineStr">
        <is>
          <t>KISHAN JAISWAL</t>
        </is>
      </c>
      <c r="E10" s="19" t="inlineStr">
        <is>
          <t>Non-TES</t>
        </is>
      </c>
      <c r="F10" s="20" t="n">
        <v>46169</v>
      </c>
      <c r="G10" s="20" t="n">
        <v>46177</v>
      </c>
      <c r="H10" s="19" t="n">
        <v>1</v>
      </c>
      <c r="I10" s="21" t="n">
        <v>0.23925</v>
      </c>
      <c r="J10" s="21" t="n">
        <v>0.23925</v>
      </c>
    </row>
    <row r="11">
      <c r="A11" s="19" t="inlineStr">
        <is>
          <t>IOMC20260613063044</t>
        </is>
      </c>
      <c r="B11" s="19" t="inlineStr">
        <is>
          <t>Godrej Joka</t>
        </is>
      </c>
      <c r="C11" s="19" t="inlineStr">
        <is>
          <t>Civil - Water Proofing and Expansion Joints</t>
        </is>
      </c>
      <c r="D11" s="19" t="inlineStr">
        <is>
          <t>PURVYAKRUTI SALES &amp; SERVICES PRIVATE LIMITED</t>
        </is>
      </c>
      <c r="E11" s="19" t="inlineStr">
        <is>
          <t>TES</t>
        </is>
      </c>
      <c r="F11" s="20" t="n">
        <v>46169</v>
      </c>
      <c r="G11" s="20" t="n">
        <v>46187</v>
      </c>
      <c r="H11" s="19" t="n">
        <v>1</v>
      </c>
      <c r="I11" s="21" t="n">
        <v>1.488</v>
      </c>
      <c r="J11" s="21" t="n">
        <v>3.569</v>
      </c>
    </row>
    <row r="12">
      <c r="A12" s="19" t="inlineStr">
        <is>
          <t>IOMC20260613063044</t>
        </is>
      </c>
      <c r="B12" s="19" t="inlineStr">
        <is>
          <t>Godrej Joka</t>
        </is>
      </c>
      <c r="C12" s="19" t="inlineStr">
        <is>
          <t>Civil - Water Proofing and Expansion Joints</t>
        </is>
      </c>
      <c r="D12" s="19" t="inlineStr">
        <is>
          <t>JSS ENGINEERING PRIVATE LIMITED</t>
        </is>
      </c>
      <c r="E12" s="19" t="inlineStr">
        <is>
          <t>TES</t>
        </is>
      </c>
      <c r="F12" s="20" t="n">
        <v>46169</v>
      </c>
      <c r="G12" s="20" t="n">
        <v>46187</v>
      </c>
      <c r="H12" s="19" t="n">
        <v>0</v>
      </c>
      <c r="I12" s="21" t="n">
        <v>2.232</v>
      </c>
      <c r="J12" s="21" t="n">
        <v>0</v>
      </c>
    </row>
    <row r="13">
      <c r="A13" s="19" t="inlineStr">
        <is>
          <t>IOMC20260624011203</t>
        </is>
      </c>
      <c r="B13" s="19" t="inlineStr">
        <is>
          <t>Godrej Joka</t>
        </is>
      </c>
      <c r="C13" s="19" t="inlineStr">
        <is>
          <t>Miscellaneous</t>
        </is>
      </c>
      <c r="D13" s="19" t="inlineStr">
        <is>
          <t>RABI CONSTRUCTION</t>
        </is>
      </c>
      <c r="E13" s="19" t="inlineStr">
        <is>
          <t>Non-TES</t>
        </is>
      </c>
      <c r="F13" s="20" t="n">
        <v>46193</v>
      </c>
      <c r="G13" s="20" t="n">
        <v>46198</v>
      </c>
      <c r="H13" s="19" t="n">
        <v>1</v>
      </c>
      <c r="I13" s="21" t="n">
        <v>0.0058</v>
      </c>
      <c r="J13" s="21" t="n">
        <v>0.0045</v>
      </c>
    </row>
    <row r="14">
      <c r="A14" s="19" t="inlineStr">
        <is>
          <t>IOMC20260624024943</t>
        </is>
      </c>
      <c r="B14" s="19" t="inlineStr">
        <is>
          <t>Godrej Joka</t>
        </is>
      </c>
      <c r="C14" s="19" t="inlineStr">
        <is>
          <t>Miscellaneous</t>
        </is>
      </c>
      <c r="D14" s="19" t="inlineStr">
        <is>
          <t>SANITECH INFRASTRUCTURES PVT LTD</t>
        </is>
      </c>
      <c r="E14" s="19" t="inlineStr">
        <is>
          <t>Non-TES</t>
        </is>
      </c>
      <c r="F14" s="20" t="n">
        <v>46193</v>
      </c>
      <c r="G14" s="20" t="n">
        <v>46198</v>
      </c>
      <c r="H14" s="19" t="n">
        <v>1</v>
      </c>
      <c r="I14" s="21" t="n">
        <v>0.0232</v>
      </c>
      <c r="J14" s="21" t="n">
        <v>0.0108</v>
      </c>
    </row>
    <row r="15">
      <c r="A15" s="19" t="inlineStr">
        <is>
          <t>IOMC20260626065311</t>
        </is>
      </c>
      <c r="B15" s="19" t="inlineStr">
        <is>
          <t>Godrej Joka</t>
        </is>
      </c>
      <c r="C15" s="19" t="inlineStr">
        <is>
          <t>Miscellaneous</t>
        </is>
      </c>
      <c r="D15" s="19" t="inlineStr">
        <is>
          <t>ZOYA ENGINEERING &amp; CONSTRUCTION COMPANY</t>
        </is>
      </c>
      <c r="E15" s="19" t="inlineStr">
        <is>
          <t>Non-TES</t>
        </is>
      </c>
      <c r="F15" s="20" t="n">
        <v>46198</v>
      </c>
      <c r="G15" s="20" t="n">
        <v>46200</v>
      </c>
      <c r="H15" s="19" t="n">
        <v>1</v>
      </c>
      <c r="I15" s="21" t="n">
        <v>0.0335</v>
      </c>
      <c r="J15" s="21" t="n">
        <v>0.0315</v>
      </c>
    </row>
    <row r="16">
      <c r="A16" s="19" t="inlineStr">
        <is>
          <t>IOMC20260702013921</t>
        </is>
      </c>
      <c r="B16" s="19" t="inlineStr">
        <is>
          <t>Godrej Joka</t>
        </is>
      </c>
      <c r="C16" s="19" t="inlineStr">
        <is>
          <t>Finishing - Al Windows/UPVC</t>
        </is>
      </c>
      <c r="D16" s="19" t="inlineStr">
        <is>
          <t>HINDUSTAN ALUMINIUM WORKS</t>
        </is>
      </c>
      <c r="E16" s="19" t="inlineStr">
        <is>
          <t>TES</t>
        </is>
      </c>
      <c r="F16" s="20" t="n">
        <v>46198</v>
      </c>
      <c r="G16" s="20" t="n">
        <v>46206</v>
      </c>
      <c r="H16" s="19" t="n">
        <v>1</v>
      </c>
      <c r="I16" s="21" t="n">
        <v>2.725</v>
      </c>
      <c r="J16" s="21" t="n">
        <v>5.567</v>
      </c>
    </row>
    <row r="17">
      <c r="A17" s="19" t="inlineStr">
        <is>
          <t>IOMC20260702013921</t>
        </is>
      </c>
      <c r="B17" s="19" t="inlineStr">
        <is>
          <t>Godrej Joka</t>
        </is>
      </c>
      <c r="C17" s="19" t="inlineStr">
        <is>
          <t>Finishing - Al Windows/UPVC</t>
        </is>
      </c>
      <c r="D17" s="19" t="inlineStr">
        <is>
          <t>ALUCOM</t>
        </is>
      </c>
      <c r="E17" s="19" t="inlineStr">
        <is>
          <t>TES</t>
        </is>
      </c>
      <c r="F17" s="20" t="n">
        <v>46198</v>
      </c>
      <c r="G17" s="20" t="n">
        <v>46206</v>
      </c>
      <c r="H17" s="19" t="n">
        <v>0</v>
      </c>
      <c r="I17" s="21" t="n">
        <v>2.885</v>
      </c>
      <c r="J17" s="21" t="n">
        <v>0</v>
      </c>
    </row>
    <row r="18">
      <c r="A18" s="19" t="inlineStr">
        <is>
          <t>IOMC20260708082730</t>
        </is>
      </c>
      <c r="B18" s="19" t="inlineStr">
        <is>
          <t>Godrej Joka</t>
        </is>
      </c>
      <c r="C18" s="19" t="inlineStr">
        <is>
          <t>Miscellaneous</t>
        </is>
      </c>
      <c r="D18" s="19" t="inlineStr">
        <is>
          <t>ZOYA ENGINEERING &amp; CONSTRUCTION COMPANY</t>
        </is>
      </c>
      <c r="E18" s="19" t="inlineStr">
        <is>
          <t>Non-TES</t>
        </is>
      </c>
      <c r="F18" s="20" t="n">
        <v>45481</v>
      </c>
      <c r="G18" s="20" t="n">
        <v>46212</v>
      </c>
      <c r="H18" s="19" t="n">
        <v>1</v>
      </c>
      <c r="I18" s="21" t="n">
        <v>0.004</v>
      </c>
      <c r="J18" s="21" t="n">
        <v>0.0031</v>
      </c>
    </row>
    <row r="19">
      <c r="A19" s="19" t="inlineStr">
        <is>
          <t>IOMC20260721210317</t>
        </is>
      </c>
      <c r="B19" s="19" t="inlineStr">
        <is>
          <t>Godrej Joka</t>
        </is>
      </c>
      <c r="C19" s="19" t="inlineStr">
        <is>
          <t>Miscellaneous</t>
        </is>
      </c>
      <c r="D19" s="19" t="inlineStr">
        <is>
          <t>Aline Curtain walls Pvt Ltd</t>
        </is>
      </c>
      <c r="E19" s="19" t="inlineStr">
        <is>
          <t>Non-TES</t>
        </is>
      </c>
      <c r="F19" s="20" t="n">
        <v>46206</v>
      </c>
      <c r="G19" s="20" t="n">
        <v>46225</v>
      </c>
      <c r="H19" s="19" t="n">
        <v>1</v>
      </c>
      <c r="I19" s="21" t="n">
        <v>0.0098</v>
      </c>
      <c r="J19" s="21" t="n">
        <v>0.0097</v>
      </c>
    </row>
    <row r="20">
      <c r="A20" s="19" t="inlineStr">
        <is>
          <t>IOMC20260722161546</t>
        </is>
      </c>
      <c r="B20" s="19" t="inlineStr">
        <is>
          <t>Godrej Joka</t>
        </is>
      </c>
      <c r="C20" s="19" t="inlineStr">
        <is>
          <t>Supply of safety equipment</t>
        </is>
      </c>
      <c r="D20" s="19" t="inlineStr">
        <is>
          <t>Rishikesh Enterprise</t>
        </is>
      </c>
      <c r="E20" s="19" t="inlineStr">
        <is>
          <t>Non-TES</t>
        </is>
      </c>
      <c r="F20" s="20" t="n">
        <v>46220</v>
      </c>
      <c r="G20" s="20" t="n">
        <v>46226</v>
      </c>
      <c r="H20" s="19" t="n">
        <v>1</v>
      </c>
      <c r="I20" s="21" t="n">
        <v>0.0066</v>
      </c>
      <c r="J20" s="21" t="n">
        <v>0.0043</v>
      </c>
    </row>
    <row r="21">
      <c r="A21" s="19" t="inlineStr">
        <is>
          <t>IOMC20260727195945</t>
        </is>
      </c>
      <c r="B21" s="19" t="inlineStr">
        <is>
          <t>Godrej Joka</t>
        </is>
      </c>
      <c r="C21" s="19" t="inlineStr">
        <is>
          <t>Miscellaneous</t>
        </is>
      </c>
      <c r="D21" s="19" t="inlineStr">
        <is>
          <t>Sanitary Syndicate Pvt Ltd</t>
        </is>
      </c>
      <c r="E21" s="19" t="inlineStr">
        <is>
          <t>Non-TES</t>
        </is>
      </c>
      <c r="F21" s="20" t="n">
        <v>46227</v>
      </c>
      <c r="G21" s="20" t="n">
        <v>46231</v>
      </c>
      <c r="H21" s="19" t="n">
        <v>1</v>
      </c>
      <c r="I21" s="21" t="n">
        <v>0.0038</v>
      </c>
      <c r="J21" s="21" t="n">
        <v>0.0027</v>
      </c>
    </row>
    <row r="22">
      <c r="A22" s="19" t="inlineStr">
        <is>
          <t>IOMC20260729182021</t>
        </is>
      </c>
      <c r="B22" s="19" t="inlineStr">
        <is>
          <t>Godrej Joka</t>
        </is>
      </c>
      <c r="C22" s="19" t="inlineStr">
        <is>
          <t>MEP - OWC</t>
        </is>
      </c>
      <c r="D22" s="19" t="inlineStr">
        <is>
          <t>3R URBAN SOLUTIONS PVT LTD</t>
        </is>
      </c>
      <c r="E22" s="19" t="inlineStr">
        <is>
          <t>TES</t>
        </is>
      </c>
      <c r="F22" s="20" t="n">
        <v>46191</v>
      </c>
      <c r="G22" s="20" t="n">
        <v>46233</v>
      </c>
      <c r="H22" s="19" t="n">
        <v>1</v>
      </c>
      <c r="I22" s="21" t="n">
        <v>0.081</v>
      </c>
      <c r="J22" s="21" t="n">
        <v>0.0623</v>
      </c>
    </row>
    <row r="23">
      <c r="A23" s="19" t="inlineStr">
        <is>
          <t>IOMC20260826172513</t>
        </is>
      </c>
      <c r="B23" s="19" t="inlineStr">
        <is>
          <t>Godrej Joka</t>
        </is>
      </c>
      <c r="C23" s="19" t="inlineStr">
        <is>
          <t>Miscellaneous</t>
        </is>
      </c>
      <c r="D23" s="19" t="inlineStr">
        <is>
          <t>ROY ENGINEERING</t>
        </is>
      </c>
      <c r="E23" s="19" t="inlineStr">
        <is>
          <t>Non-TES</t>
        </is>
      </c>
      <c r="F23" s="20" t="n">
        <v>46259</v>
      </c>
      <c r="G23" s="20" t="n">
        <v>46261</v>
      </c>
      <c r="H23" s="19" t="n">
        <v>1</v>
      </c>
      <c r="I23" s="21" t="n">
        <v>0.0619</v>
      </c>
      <c r="J23" s="21" t="n">
        <v>0.0619</v>
      </c>
    </row>
    <row r="24">
      <c r="A24" s="19" t="inlineStr">
        <is>
          <t>IOMC20260826175713</t>
        </is>
      </c>
      <c r="B24" s="19" t="inlineStr">
        <is>
          <t>Godrej Joka</t>
        </is>
      </c>
      <c r="C24" s="19" t="inlineStr">
        <is>
          <t>Miscellaneous</t>
        </is>
      </c>
      <c r="D24" s="19" t="inlineStr">
        <is>
          <t>Pioneer Coop Engineers and Construction</t>
        </is>
      </c>
      <c r="E24" s="19" t="inlineStr">
        <is>
          <t>Non-TES</t>
        </is>
      </c>
      <c r="F24" s="20" t="n">
        <v>46259</v>
      </c>
      <c r="G24" s="20" t="n">
        <v>46261</v>
      </c>
      <c r="H24" s="19" t="n">
        <v>1</v>
      </c>
      <c r="I24" s="21" t="n">
        <v>0.012</v>
      </c>
      <c r="J24" s="21" t="n">
        <v>0.012</v>
      </c>
    </row>
    <row r="25">
      <c r="A25" s="19" t="inlineStr">
        <is>
          <t>IOMC20260828200004</t>
        </is>
      </c>
      <c r="B25" s="19" t="inlineStr">
        <is>
          <t>Godrej Joka</t>
        </is>
      </c>
      <c r="C25" s="19" t="inlineStr">
        <is>
          <t>Miscellaneous / other</t>
        </is>
      </c>
      <c r="D25" s="19" t="inlineStr">
        <is>
          <t>C&amp;B Ecogen Private Limited</t>
        </is>
      </c>
      <c r="E25" s="19" t="inlineStr">
        <is>
          <t>Non-TES</t>
        </is>
      </c>
      <c r="F25" s="20" t="n">
        <v>46253</v>
      </c>
      <c r="G25" s="20" t="n">
        <v>46263</v>
      </c>
      <c r="H25" s="19" t="n">
        <v>1</v>
      </c>
      <c r="I25" s="21" t="n">
        <v>0.0178</v>
      </c>
      <c r="J25" s="21" t="n">
        <v>0.0166</v>
      </c>
    </row>
    <row r="26">
      <c r="A26" s="19" t="inlineStr">
        <is>
          <t>IOMC20260409054741</t>
        </is>
      </c>
      <c r="B26" s="19" t="inlineStr">
        <is>
          <t>Godrej Prakriti</t>
        </is>
      </c>
      <c r="C26" s="19" t="inlineStr">
        <is>
          <t>Finishing - Door/Fire Door</t>
        </is>
      </c>
      <c r="D26" s="19" t="inlineStr">
        <is>
          <t>Shreeji Woodcraft Pvt Ltd</t>
        </is>
      </c>
      <c r="E26" s="19" t="inlineStr">
        <is>
          <t>Non-TES</t>
        </is>
      </c>
      <c r="F26" s="20" t="n">
        <v>46106</v>
      </c>
      <c r="G26" s="20" t="n">
        <v>46122</v>
      </c>
      <c r="H26" s="19" t="n">
        <v>1</v>
      </c>
      <c r="I26" s="21" t="n">
        <v>0.0179</v>
      </c>
      <c r="J26" s="21" t="n">
        <v>0.0174</v>
      </c>
    </row>
    <row r="27">
      <c r="A27" s="19" t="inlineStr">
        <is>
          <t>IOMC20260420121908</t>
        </is>
      </c>
      <c r="B27" s="19" t="inlineStr">
        <is>
          <t>Godrej Prakriti</t>
        </is>
      </c>
      <c r="C27" s="19" t="inlineStr">
        <is>
          <t>Finishing - Painting</t>
        </is>
      </c>
      <c r="D27" s="19" t="inlineStr">
        <is>
          <t>BIBHAS KUMAR DUTTA</t>
        </is>
      </c>
      <c r="E27" s="19" t="inlineStr">
        <is>
          <t>Non-TES</t>
        </is>
      </c>
      <c r="F27" s="20" t="n">
        <v>46099</v>
      </c>
      <c r="G27" s="20" t="n">
        <v>46133</v>
      </c>
      <c r="H27" s="19" t="n">
        <v>1</v>
      </c>
      <c r="I27" s="21" t="n">
        <v>0.1516</v>
      </c>
      <c r="J27" s="21" t="n">
        <v>0.1138</v>
      </c>
    </row>
    <row r="28">
      <c r="A28" s="19" t="inlineStr">
        <is>
          <t>IOMC20260420121908</t>
        </is>
      </c>
      <c r="B28" s="19" t="inlineStr">
        <is>
          <t>Godrej Prakriti</t>
        </is>
      </c>
      <c r="C28" s="19" t="inlineStr">
        <is>
          <t>Finishing - Painting</t>
        </is>
      </c>
      <c r="D28" s="19" t="inlineStr">
        <is>
          <t>MOZAMMEL SEKH</t>
        </is>
      </c>
      <c r="E28" s="19" t="inlineStr">
        <is>
          <t>Non-TES</t>
        </is>
      </c>
      <c r="F28" s="20" t="n">
        <v>46099</v>
      </c>
      <c r="G28" s="20" t="n">
        <v>46133</v>
      </c>
      <c r="H28" s="19" t="n">
        <v>0</v>
      </c>
      <c r="I28" s="21" t="n">
        <v>0.0351</v>
      </c>
      <c r="J28" s="21" t="n">
        <v>0</v>
      </c>
    </row>
    <row r="29">
      <c r="A29" s="19" t="inlineStr">
        <is>
          <t>IOMC20260501044941</t>
        </is>
      </c>
      <c r="B29" s="19" t="inlineStr">
        <is>
          <t>Godrej Prakriti</t>
        </is>
      </c>
      <c r="C29" s="19" t="inlineStr">
        <is>
          <t>Civil - General</t>
        </is>
      </c>
      <c r="D29" s="19" t="inlineStr">
        <is>
          <t>SGK INFRA ARCHITECTURE CO</t>
        </is>
      </c>
      <c r="E29" s="19" t="inlineStr">
        <is>
          <t>Non-TES</t>
        </is>
      </c>
      <c r="F29" s="20" t="n">
        <v>46086</v>
      </c>
      <c r="G29" s="20" t="n">
        <v>46144</v>
      </c>
      <c r="H29" s="19" t="n">
        <v>1</v>
      </c>
      <c r="I29" s="21" t="n">
        <v>0.107</v>
      </c>
      <c r="J29" s="21" t="n">
        <v>0.066</v>
      </c>
    </row>
    <row r="30">
      <c r="A30" s="19" t="inlineStr">
        <is>
          <t>IOMC20260505120640</t>
        </is>
      </c>
      <c r="B30" s="19" t="inlineStr">
        <is>
          <t>Godrej Prakriti</t>
        </is>
      </c>
      <c r="C30" s="19" t="inlineStr">
        <is>
          <t>MEP - Electrical</t>
        </is>
      </c>
      <c r="D30" s="19" t="inlineStr">
        <is>
          <t>RSM PROJECTS &amp; ENGINEERS PRIVATE LIMITED</t>
        </is>
      </c>
      <c r="E30" s="19" t="inlineStr">
        <is>
          <t>Non-TES</t>
        </is>
      </c>
      <c r="F30" s="20" t="n">
        <v>46140</v>
      </c>
      <c r="G30" s="20" t="n">
        <v>46148</v>
      </c>
      <c r="H30" s="19" t="n">
        <v>1</v>
      </c>
      <c r="I30" s="21" t="n">
        <v>0.15</v>
      </c>
      <c r="J30" s="21" t="n">
        <v>0.121</v>
      </c>
    </row>
    <row r="31">
      <c r="A31" s="19" t="inlineStr">
        <is>
          <t>IOMC20260517010102</t>
        </is>
      </c>
      <c r="B31" s="19" t="inlineStr">
        <is>
          <t>Godrej Prakriti</t>
        </is>
      </c>
      <c r="C31" s="19" t="inlineStr">
        <is>
          <t>Minor civil &amp; finishing works</t>
        </is>
      </c>
      <c r="D31" s="19" t="inlineStr">
        <is>
          <t>Innovative Vastunirman Private Limited</t>
        </is>
      </c>
      <c r="E31" s="19" t="inlineStr">
        <is>
          <t>Non-TES</t>
        </is>
      </c>
      <c r="F31" s="20" t="n">
        <v>46128</v>
      </c>
      <c r="G31" s="20" t="n">
        <v>46160</v>
      </c>
      <c r="H31" s="19" t="n">
        <v>1</v>
      </c>
      <c r="I31" s="21" t="n">
        <v>0.01</v>
      </c>
      <c r="J31" s="21" t="n">
        <v>0.01</v>
      </c>
    </row>
    <row r="32">
      <c r="A32" s="19" t="inlineStr">
        <is>
          <t>IOMC20260613113646</t>
        </is>
      </c>
      <c r="B32" s="19" t="inlineStr">
        <is>
          <t>Godrej Prakriti</t>
        </is>
      </c>
      <c r="C32" s="19" t="inlineStr">
        <is>
          <t>Minor civil &amp; finishing works</t>
        </is>
      </c>
      <c r="D32" s="19" t="inlineStr">
        <is>
          <t>J D ELECTRICAL ENGINEERING SERVICES PRIVATE LIMITED</t>
        </is>
      </c>
      <c r="E32" s="19" t="inlineStr">
        <is>
          <t>Non-TES</t>
        </is>
      </c>
      <c r="F32" s="20" t="n">
        <v>46181</v>
      </c>
      <c r="G32" s="20" t="n">
        <v>46187</v>
      </c>
      <c r="H32" s="19" t="n">
        <v>1</v>
      </c>
      <c r="I32" s="21" t="n">
        <v>0.0255</v>
      </c>
      <c r="J32" s="21" t="n">
        <v>0.0255</v>
      </c>
    </row>
    <row r="33">
      <c r="A33" s="19" t="inlineStr">
        <is>
          <t>IOMC20260614010940</t>
        </is>
      </c>
      <c r="B33" s="19" t="inlineStr">
        <is>
          <t>Godrej Prakriti</t>
        </is>
      </c>
      <c r="C33" s="19" t="inlineStr">
        <is>
          <t>Minor civil &amp; finishing works</t>
        </is>
      </c>
      <c r="D33" s="19" t="inlineStr">
        <is>
          <t>VEDASHREE ENTERPRISES</t>
        </is>
      </c>
      <c r="E33" s="19" t="inlineStr">
        <is>
          <t>Non-TES</t>
        </is>
      </c>
      <c r="F33" s="20" t="n">
        <v>46170</v>
      </c>
      <c r="G33" s="20" t="n">
        <v>46188</v>
      </c>
      <c r="H33" s="19" t="n">
        <v>1</v>
      </c>
      <c r="I33" s="21" t="n">
        <v>0.076</v>
      </c>
      <c r="J33" s="21" t="n">
        <v>0.076</v>
      </c>
    </row>
    <row r="34">
      <c r="A34" s="19" t="inlineStr">
        <is>
          <t>IOMC20260618072212</t>
        </is>
      </c>
      <c r="B34" s="19" t="inlineStr">
        <is>
          <t>Godrej Prakriti</t>
        </is>
      </c>
      <c r="C34" s="19" t="inlineStr">
        <is>
          <t>Miscellaneous</t>
        </is>
      </c>
      <c r="D34" s="19" t="inlineStr">
        <is>
          <t>HILTI INDIA PRIVATE LIMITED</t>
        </is>
      </c>
      <c r="E34" s="19" t="inlineStr">
        <is>
          <t>Non-TES</t>
        </is>
      </c>
      <c r="F34" s="20" t="n">
        <v>46189</v>
      </c>
      <c r="G34" s="20" t="n">
        <v>46192</v>
      </c>
      <c r="H34" s="19" t="n">
        <v>1</v>
      </c>
      <c r="I34" s="21" t="n">
        <v>0.0223</v>
      </c>
      <c r="J34" s="21" t="n">
        <v>0.0223</v>
      </c>
    </row>
    <row r="35">
      <c r="A35" s="19" t="inlineStr">
        <is>
          <t>IOMC20260629044605</t>
        </is>
      </c>
      <c r="B35" s="19" t="inlineStr">
        <is>
          <t>Godrej Prakriti</t>
        </is>
      </c>
      <c r="C35" s="19" t="inlineStr">
        <is>
          <t>Finishing - Al Windows/UPVC</t>
        </is>
      </c>
      <c r="D35" s="19" t="inlineStr">
        <is>
          <t>HINDUSTAN ALUMINIUM WORKS</t>
        </is>
      </c>
      <c r="E35" s="19" t="inlineStr">
        <is>
          <t>Non-TES</t>
        </is>
      </c>
      <c r="F35" s="20" t="n">
        <v>46196</v>
      </c>
      <c r="G35" s="20" t="n">
        <v>46203</v>
      </c>
      <c r="H35" s="19" t="n">
        <v>1</v>
      </c>
      <c r="I35" s="21" t="n">
        <v>0.301</v>
      </c>
      <c r="J35" s="21" t="n">
        <v>0.287</v>
      </c>
    </row>
    <row r="36">
      <c r="A36" s="19" t="inlineStr">
        <is>
          <t>IOMC20260630114345</t>
        </is>
      </c>
      <c r="B36" s="19" t="inlineStr">
        <is>
          <t>Godrej Prakriti</t>
        </is>
      </c>
      <c r="C36" s="19" t="inlineStr">
        <is>
          <t>Supply of labour</t>
        </is>
      </c>
      <c r="D36" s="19" t="inlineStr">
        <is>
          <t>VEDASHREE ENTERPRISES</t>
        </is>
      </c>
      <c r="E36" s="19" t="inlineStr">
        <is>
          <t>Non-TES</t>
        </is>
      </c>
      <c r="F36" s="20" t="n">
        <v>46197</v>
      </c>
      <c r="G36" s="20" t="n">
        <v>46204</v>
      </c>
      <c r="H36" s="19" t="n">
        <v>1</v>
      </c>
      <c r="I36" s="21" t="n">
        <v>0.2294</v>
      </c>
      <c r="J36" s="21" t="n">
        <v>0.2294</v>
      </c>
    </row>
    <row r="37">
      <c r="A37" s="19" t="inlineStr">
        <is>
          <t>IOMC20260701115430</t>
        </is>
      </c>
      <c r="B37" s="19" t="inlineStr">
        <is>
          <t>Godrej Prakriti</t>
        </is>
      </c>
      <c r="C37" s="19" t="inlineStr">
        <is>
          <t>Civil - General</t>
        </is>
      </c>
      <c r="D37" s="19" t="inlineStr">
        <is>
          <t>B S Enterprise</t>
        </is>
      </c>
      <c r="E37" s="19" t="inlineStr">
        <is>
          <t>Non-TES</t>
        </is>
      </c>
      <c r="F37" s="20" t="n">
        <v>46195</v>
      </c>
      <c r="G37" s="20" t="n">
        <v>46205</v>
      </c>
      <c r="H37" s="19" t="n">
        <v>1</v>
      </c>
      <c r="I37" s="21" t="n">
        <v>0.415</v>
      </c>
      <c r="J37" s="21" t="n">
        <v>0.378</v>
      </c>
    </row>
    <row r="38">
      <c r="A38" s="19" t="inlineStr">
        <is>
          <t>IOMC20260701011759</t>
        </is>
      </c>
      <c r="B38" s="19" t="inlineStr">
        <is>
          <t>Godrej Prakriti</t>
        </is>
      </c>
      <c r="C38" s="19" t="inlineStr">
        <is>
          <t>Civil - General</t>
        </is>
      </c>
      <c r="D38" s="19" t="inlineStr">
        <is>
          <t>B S Enterprise</t>
        </is>
      </c>
      <c r="E38" s="19" t="inlineStr">
        <is>
          <t>Non-TES</t>
        </is>
      </c>
      <c r="F38" s="20" t="n">
        <v>46190</v>
      </c>
      <c r="G38" s="20" t="n">
        <v>46205</v>
      </c>
      <c r="H38" s="19" t="n">
        <v>1</v>
      </c>
      <c r="I38" s="21" t="n">
        <v>0.1395</v>
      </c>
      <c r="J38" s="21" t="n">
        <v>0.1345</v>
      </c>
    </row>
    <row r="39">
      <c r="A39" s="19" t="inlineStr">
        <is>
          <t>IOMC20260707023323</t>
        </is>
      </c>
      <c r="B39" s="19" t="inlineStr">
        <is>
          <t>Godrej Prakriti</t>
        </is>
      </c>
      <c r="C39" s="19" t="inlineStr">
        <is>
          <t>Minor civil &amp; finishing works</t>
        </is>
      </c>
      <c r="D39" s="19" t="inlineStr">
        <is>
          <t>SUDHIR KUMAR DHIRAJ KUMAR</t>
        </is>
      </c>
      <c r="E39" s="19" t="inlineStr">
        <is>
          <t>Non-TES</t>
        </is>
      </c>
      <c r="F39" s="20" t="n">
        <v>46195</v>
      </c>
      <c r="G39" s="20" t="n">
        <v>46211</v>
      </c>
      <c r="H39" s="19" t="n">
        <v>1</v>
      </c>
      <c r="I39" s="21" t="n">
        <v>0.04</v>
      </c>
      <c r="J39" s="21" t="n">
        <v>0.032</v>
      </c>
    </row>
    <row r="40">
      <c r="A40" s="19" t="inlineStr">
        <is>
          <t>IOMC20260714115139</t>
        </is>
      </c>
      <c r="B40" s="19" t="inlineStr">
        <is>
          <t>Godrej Prakriti</t>
        </is>
      </c>
      <c r="C40" s="19" t="inlineStr">
        <is>
          <t>Miscellaneous</t>
        </is>
      </c>
      <c r="D40" s="19" t="inlineStr">
        <is>
          <t>Geotest Engineers Pvt Ltd</t>
        </is>
      </c>
      <c r="E40" s="19" t="inlineStr">
        <is>
          <t>Non-TES</t>
        </is>
      </c>
      <c r="F40" s="20" t="n">
        <v>46213</v>
      </c>
      <c r="G40" s="20" t="n">
        <v>46218</v>
      </c>
      <c r="H40" s="19" t="n">
        <v>1</v>
      </c>
      <c r="I40" s="21" t="n">
        <v>0.0022</v>
      </c>
      <c r="J40" s="21" t="n">
        <v>0.0015</v>
      </c>
    </row>
    <row r="41">
      <c r="A41" s="19" t="inlineStr">
        <is>
          <t>IOMC20260714121409</t>
        </is>
      </c>
      <c r="B41" s="19" t="inlineStr">
        <is>
          <t>Godrej Prakriti</t>
        </is>
      </c>
      <c r="C41" s="19" t="inlineStr">
        <is>
          <t>Miscellaneous</t>
        </is>
      </c>
      <c r="D41" s="19" t="inlineStr">
        <is>
          <t>SANITECH INFRASTRUCTURES PVT LTD</t>
        </is>
      </c>
      <c r="E41" s="19" t="inlineStr">
        <is>
          <t>Non-TES</t>
        </is>
      </c>
      <c r="F41" s="20" t="n">
        <v>46193</v>
      </c>
      <c r="G41" s="20" t="n">
        <v>46218</v>
      </c>
      <c r="H41" s="19" t="n">
        <v>1</v>
      </c>
      <c r="I41" s="21" t="n">
        <v>0.035</v>
      </c>
      <c r="J41" s="21" t="n">
        <v>0.025</v>
      </c>
    </row>
    <row r="42">
      <c r="A42" s="19" t="inlineStr">
        <is>
          <t>IOMC20260722171225</t>
        </is>
      </c>
      <c r="B42" s="19" t="inlineStr">
        <is>
          <t>Godrej Prakriti</t>
        </is>
      </c>
      <c r="C42" s="19" t="inlineStr">
        <is>
          <t>Miscellaneous</t>
        </is>
      </c>
      <c r="D42" s="19" t="inlineStr">
        <is>
          <t>ANTWORT PEST CONTROL</t>
        </is>
      </c>
      <c r="E42" s="19" t="inlineStr">
        <is>
          <t>Non-TES</t>
        </is>
      </c>
      <c r="F42" s="20" t="n">
        <v>46214</v>
      </c>
      <c r="G42" s="20" t="n">
        <v>46226</v>
      </c>
      <c r="H42" s="19" t="n">
        <v>1</v>
      </c>
      <c r="I42" s="21" t="n">
        <v>0.011</v>
      </c>
      <c r="J42" s="21" t="n">
        <v>0.008999999999999999</v>
      </c>
    </row>
    <row r="43">
      <c r="A43" s="19" t="inlineStr">
        <is>
          <t>IOMC20260727121112</t>
        </is>
      </c>
      <c r="B43" s="19" t="inlineStr">
        <is>
          <t>Godrej Prakriti</t>
        </is>
      </c>
      <c r="C43" s="19" t="inlineStr">
        <is>
          <t>Miscellaneous</t>
        </is>
      </c>
      <c r="D43" s="19" t="inlineStr">
        <is>
          <t>Earth Care Products And Services</t>
        </is>
      </c>
      <c r="E43" s="19" t="inlineStr">
        <is>
          <t>Non-TES</t>
        </is>
      </c>
      <c r="F43" s="20" t="n">
        <v>46210</v>
      </c>
      <c r="G43" s="20" t="n">
        <v>46231</v>
      </c>
      <c r="H43" s="19" t="n">
        <v>1</v>
      </c>
      <c r="I43" s="21" t="n">
        <v>0.015</v>
      </c>
      <c r="J43" s="21" t="n">
        <v>0.0125</v>
      </c>
    </row>
    <row r="44">
      <c r="A44" s="19" t="inlineStr">
        <is>
          <t>IOMC20260803222705</t>
        </is>
      </c>
      <c r="B44" s="19" t="inlineStr">
        <is>
          <t>Godrej Prakriti</t>
        </is>
      </c>
      <c r="C44" s="19" t="inlineStr">
        <is>
          <t>Miscellaneous</t>
        </is>
      </c>
      <c r="D44" s="19" t="inlineStr">
        <is>
          <t>ADIX SAFETY SOLUTIONS</t>
        </is>
      </c>
      <c r="E44" s="19" t="inlineStr">
        <is>
          <t>Non-TES</t>
        </is>
      </c>
      <c r="F44" s="20" t="n">
        <v>46237</v>
      </c>
      <c r="G44" s="20" t="n">
        <v>46238</v>
      </c>
      <c r="H44" s="19" t="n">
        <v>1</v>
      </c>
      <c r="I44" s="21" t="n">
        <v>0.02</v>
      </c>
      <c r="J44" s="21" t="n">
        <v>0.0166</v>
      </c>
    </row>
    <row r="45">
      <c r="A45" s="19" t="inlineStr">
        <is>
          <t>IOMC20260816021235</t>
        </is>
      </c>
      <c r="B45" s="19" t="inlineStr">
        <is>
          <t>Godrej Prakriti</t>
        </is>
      </c>
      <c r="C45" s="19" t="inlineStr">
        <is>
          <t>Civil - General</t>
        </is>
      </c>
      <c r="D45" s="19" t="inlineStr">
        <is>
          <t>BIBHAS KUMAR DUTTA</t>
        </is>
      </c>
      <c r="E45" s="19" t="inlineStr">
        <is>
          <t>Non-TES</t>
        </is>
      </c>
      <c r="F45" s="20" t="n">
        <v>46234</v>
      </c>
      <c r="G45" s="20" t="n">
        <v>46251</v>
      </c>
      <c r="H45" s="19" t="n">
        <v>1</v>
      </c>
      <c r="I45" s="21" t="n">
        <v>0.551</v>
      </c>
      <c r="J45" s="21" t="n">
        <v>0.548</v>
      </c>
    </row>
    <row r="46">
      <c r="A46" s="19" t="inlineStr">
        <is>
          <t>IOMC20260817200016</t>
        </is>
      </c>
      <c r="B46" s="19" t="inlineStr">
        <is>
          <t>Godrej Prakriti</t>
        </is>
      </c>
      <c r="C46" s="19" t="inlineStr">
        <is>
          <t>Miscellaneous</t>
        </is>
      </c>
      <c r="D46" s="19" t="inlineStr">
        <is>
          <t>PANDA AND ASSOCIATES</t>
        </is>
      </c>
      <c r="E46" s="19" t="inlineStr">
        <is>
          <t>Non-TES</t>
        </is>
      </c>
      <c r="F46" s="20" t="n">
        <v>46248</v>
      </c>
      <c r="G46" s="20" t="n">
        <v>46252</v>
      </c>
      <c r="H46" s="19" t="n">
        <v>1</v>
      </c>
      <c r="I46" s="21" t="n">
        <v>0.004</v>
      </c>
      <c r="J46" s="21" t="n">
        <v>0.004</v>
      </c>
    </row>
    <row r="47">
      <c r="A47" s="19" t="inlineStr">
        <is>
          <t>IOMC20260401040346</t>
        </is>
      </c>
      <c r="B47" s="19" t="inlineStr">
        <is>
          <t>B L saha</t>
        </is>
      </c>
      <c r="C47" s="19" t="inlineStr">
        <is>
          <t>MEP - Plumbing</t>
        </is>
      </c>
      <c r="D47" s="19" t="inlineStr">
        <is>
          <t>Jagrati Civil Constructions Pvt. Ltd.</t>
        </is>
      </c>
      <c r="E47" s="19" t="inlineStr">
        <is>
          <t>TES</t>
        </is>
      </c>
      <c r="F47" s="20" t="n">
        <v>46098</v>
      </c>
      <c r="G47" s="20" t="n">
        <v>46128</v>
      </c>
      <c r="H47" s="19" t="n">
        <v>1</v>
      </c>
      <c r="I47" s="21" t="n">
        <v>2.514</v>
      </c>
      <c r="J47" s="21" t="n">
        <v>2.445</v>
      </c>
    </row>
    <row r="48">
      <c r="A48" s="19" t="inlineStr">
        <is>
          <t>IOMC20260414064050</t>
        </is>
      </c>
      <c r="B48" s="19" t="inlineStr">
        <is>
          <t>B L saha</t>
        </is>
      </c>
      <c r="C48" s="19" t="inlineStr">
        <is>
          <t>MEP - Plumbing</t>
        </is>
      </c>
      <c r="D48" s="19" t="inlineStr">
        <is>
          <t>RANA</t>
        </is>
      </c>
      <c r="E48" s="19" t="inlineStr">
        <is>
          <t>Non-TES</t>
        </is>
      </c>
      <c r="F48" s="20" t="n">
        <v>46105</v>
      </c>
      <c r="G48" s="20" t="n">
        <v>46127</v>
      </c>
      <c r="H48" s="19" t="n">
        <v>1</v>
      </c>
      <c r="I48" s="21" t="n">
        <v>0.0038</v>
      </c>
      <c r="J48" s="21" t="n">
        <v>0.0033</v>
      </c>
    </row>
    <row r="49">
      <c r="A49" s="19" t="inlineStr">
        <is>
          <t>IOMC20260423102610</t>
        </is>
      </c>
      <c r="B49" s="19" t="inlineStr">
        <is>
          <t>B L saha</t>
        </is>
      </c>
      <c r="C49" s="19" t="inlineStr">
        <is>
          <t>Finishing - General</t>
        </is>
      </c>
      <c r="D49" s="19" t="inlineStr">
        <is>
          <t>BUILDON PLASTERS PRIVATE LIMITED</t>
        </is>
      </c>
      <c r="E49" s="19" t="inlineStr">
        <is>
          <t>TES</t>
        </is>
      </c>
      <c r="F49" s="20" t="n">
        <v>46063</v>
      </c>
      <c r="G49" s="20" t="n">
        <v>46136</v>
      </c>
      <c r="H49" s="19" t="n">
        <v>1</v>
      </c>
      <c r="I49" s="21" t="n">
        <v>5.056</v>
      </c>
      <c r="J49" s="21" t="n">
        <v>7.022</v>
      </c>
    </row>
    <row r="50">
      <c r="A50" s="19" t="inlineStr">
        <is>
          <t>IOMC20260423102610</t>
        </is>
      </c>
      <c r="B50" s="19" t="inlineStr">
        <is>
          <t>B L saha</t>
        </is>
      </c>
      <c r="C50" s="19" t="inlineStr">
        <is>
          <t>Finishing - General</t>
        </is>
      </c>
      <c r="D50" s="19" t="inlineStr">
        <is>
          <t>Purkait Enterprise</t>
        </is>
      </c>
      <c r="E50" s="19" t="inlineStr">
        <is>
          <t>TES</t>
        </is>
      </c>
      <c r="F50" s="20" t="n">
        <v>46063</v>
      </c>
      <c r="G50" s="20" t="n">
        <v>46136</v>
      </c>
      <c r="H50" s="19" t="n">
        <v>0</v>
      </c>
      <c r="I50" s="21" t="n">
        <v>2.257</v>
      </c>
      <c r="J50" s="21" t="n">
        <v>0</v>
      </c>
    </row>
    <row r="51">
      <c r="A51" s="19" t="inlineStr">
        <is>
          <t>IOMC20260425104438</t>
        </is>
      </c>
      <c r="B51" s="19" t="inlineStr">
        <is>
          <t>B L saha</t>
        </is>
      </c>
      <c r="C51" s="19" t="inlineStr">
        <is>
          <t>MEP - Plumbing</t>
        </is>
      </c>
      <c r="D51" s="19" t="inlineStr">
        <is>
          <t>FIRE GUARD SYNDICATE</t>
        </is>
      </c>
      <c r="E51" s="19" t="inlineStr">
        <is>
          <t>TES</t>
        </is>
      </c>
      <c r="F51" s="20" t="n">
        <v>46097</v>
      </c>
      <c r="G51" s="20" t="n">
        <v>46138</v>
      </c>
      <c r="H51" s="19" t="n">
        <v>1</v>
      </c>
      <c r="I51" s="21" t="n">
        <v>3.689</v>
      </c>
      <c r="J51" s="21" t="n">
        <v>6.739</v>
      </c>
    </row>
    <row r="52">
      <c r="A52" s="19" t="inlineStr">
        <is>
          <t>IOMC20260425104438</t>
        </is>
      </c>
      <c r="B52" s="19" t="inlineStr">
        <is>
          <t>B L saha</t>
        </is>
      </c>
      <c r="C52" s="19" t="inlineStr">
        <is>
          <t>MEP - Plumbing</t>
        </is>
      </c>
      <c r="D52" s="19" t="inlineStr">
        <is>
          <t>Sanitech Infrastructures Pvt Ltd</t>
        </is>
      </c>
      <c r="E52" s="19" t="inlineStr">
        <is>
          <t>TES</t>
        </is>
      </c>
      <c r="F52" s="20" t="n">
        <v>46097</v>
      </c>
      <c r="G52" s="20" t="n">
        <v>46138</v>
      </c>
      <c r="H52" s="19" t="n">
        <v>0</v>
      </c>
      <c r="I52" s="21" t="n">
        <v>3.261</v>
      </c>
      <c r="J52" s="21" t="n">
        <v>0</v>
      </c>
    </row>
    <row r="53">
      <c r="A53" s="19" t="inlineStr">
        <is>
          <t>IOMC20260505114547</t>
        </is>
      </c>
      <c r="B53" s="19" t="inlineStr">
        <is>
          <t>B L saha</t>
        </is>
      </c>
      <c r="C53" s="19" t="inlineStr">
        <is>
          <t>Civil - General</t>
        </is>
      </c>
      <c r="D53" s="19" t="inlineStr">
        <is>
          <t>SUDHIR KUMAR DHIRAJ KUMAR</t>
        </is>
      </c>
      <c r="E53" s="19" t="inlineStr">
        <is>
          <t>Non-TES</t>
        </is>
      </c>
      <c r="F53" s="20" t="n">
        <v>46129</v>
      </c>
      <c r="G53" s="20" t="n">
        <v>46148</v>
      </c>
      <c r="H53" s="19" t="n">
        <v>1</v>
      </c>
      <c r="I53" s="21" t="n">
        <v>0.3072</v>
      </c>
      <c r="J53" s="21" t="n">
        <v>0.289</v>
      </c>
    </row>
    <row r="54">
      <c r="A54" s="19" t="inlineStr">
        <is>
          <t>IOMC20260519051210</t>
        </is>
      </c>
      <c r="B54" s="19" t="inlineStr">
        <is>
          <t>B L saha</t>
        </is>
      </c>
      <c r="C54" s="19" t="inlineStr">
        <is>
          <t>MEP - Firefighting</t>
        </is>
      </c>
      <c r="D54" s="19" t="inlineStr">
        <is>
          <t>SIBAM ENGINEERING PRIVATE LIMITED</t>
        </is>
      </c>
      <c r="E54" s="19" t="inlineStr">
        <is>
          <t>TES</t>
        </is>
      </c>
      <c r="F54" s="20" t="n">
        <v>46083</v>
      </c>
      <c r="G54" s="20" t="n">
        <v>46162</v>
      </c>
      <c r="H54" s="19" t="n">
        <v>1</v>
      </c>
      <c r="I54" s="21" t="n">
        <v>2.9538</v>
      </c>
      <c r="J54" s="21" t="n">
        <v>5.852</v>
      </c>
    </row>
    <row r="55">
      <c r="A55" s="19" t="inlineStr">
        <is>
          <t>IOMC20260519051210</t>
        </is>
      </c>
      <c r="B55" s="19" t="inlineStr">
        <is>
          <t>B L saha</t>
        </is>
      </c>
      <c r="C55" s="19" t="inlineStr">
        <is>
          <t>MEP - Firefighting</t>
        </is>
      </c>
      <c r="D55" s="19" t="inlineStr">
        <is>
          <t>Sanitary Syndicate Pvt Ltd</t>
        </is>
      </c>
      <c r="E55" s="19" t="inlineStr">
        <is>
          <t>TES</t>
        </is>
      </c>
      <c r="F55" s="20" t="n">
        <v>46083</v>
      </c>
      <c r="G55" s="20" t="n">
        <v>46162</v>
      </c>
      <c r="H55" s="19" t="n">
        <v>0</v>
      </c>
      <c r="I55" s="21" t="n">
        <v>2.8982</v>
      </c>
      <c r="J55" s="21" t="n">
        <v>0</v>
      </c>
    </row>
    <row r="56">
      <c r="A56" s="19" t="inlineStr">
        <is>
          <t>IOMC20260601080416</t>
        </is>
      </c>
      <c r="B56" s="19" t="inlineStr">
        <is>
          <t>B L saha</t>
        </is>
      </c>
      <c r="C56" s="19" t="inlineStr">
        <is>
          <t>MEP - Electrical</t>
        </is>
      </c>
      <c r="D56" s="19" t="inlineStr">
        <is>
          <t>Chakraborty Electricals Pvt Ltd</t>
        </is>
      </c>
      <c r="E56" s="19" t="inlineStr">
        <is>
          <t>Non-TES</t>
        </is>
      </c>
      <c r="F56" s="20" t="n">
        <v>46164</v>
      </c>
      <c r="G56" s="20" t="n">
        <v>46175</v>
      </c>
      <c r="H56" s="19" t="n">
        <v>1</v>
      </c>
      <c r="I56" s="21" t="n">
        <v>0.0504</v>
      </c>
      <c r="J56" s="21" t="n">
        <v>0.0489</v>
      </c>
    </row>
    <row r="57">
      <c r="A57" s="19" t="inlineStr">
        <is>
          <t>IOMC20260623015323</t>
        </is>
      </c>
      <c r="B57" s="19" t="inlineStr">
        <is>
          <t>B L saha</t>
        </is>
      </c>
      <c r="C57" s="19" t="inlineStr">
        <is>
          <t>Miscellaneous</t>
        </is>
      </c>
      <c r="D57" s="19" t="inlineStr">
        <is>
          <t>Niyati Enterprises</t>
        </is>
      </c>
      <c r="E57" s="19" t="inlineStr">
        <is>
          <t>Non-TES</t>
        </is>
      </c>
      <c r="F57" s="20" t="n">
        <v>46192</v>
      </c>
      <c r="G57" s="20" t="n">
        <v>46197</v>
      </c>
      <c r="H57" s="19" t="n">
        <v>1</v>
      </c>
      <c r="I57" s="21" t="n">
        <v>0.0244</v>
      </c>
      <c r="J57" s="21" t="n">
        <v>0.0173</v>
      </c>
    </row>
    <row r="58">
      <c r="A58" s="19" t="inlineStr">
        <is>
          <t>IOMC20260626031812</t>
        </is>
      </c>
      <c r="B58" s="19" t="inlineStr">
        <is>
          <t>B L saha</t>
        </is>
      </c>
      <c r="C58" s="19" t="inlineStr">
        <is>
          <t>Miscellaneous</t>
        </is>
      </c>
      <c r="D58" s="19" t="inlineStr">
        <is>
          <t>ROY ENGINEERING</t>
        </is>
      </c>
      <c r="E58" s="19" t="inlineStr">
        <is>
          <t>Non-TES</t>
        </is>
      </c>
      <c r="F58" s="20" t="n">
        <v>46192</v>
      </c>
      <c r="G58" s="20" t="n">
        <v>46200</v>
      </c>
      <c r="H58" s="19" t="n">
        <v>1</v>
      </c>
      <c r="I58" s="21" t="n">
        <v>0.0244</v>
      </c>
      <c r="J58" s="21" t="n">
        <v>0.0175</v>
      </c>
    </row>
    <row r="59">
      <c r="A59" s="19" t="inlineStr">
        <is>
          <t>IOMC20260702115056</t>
        </is>
      </c>
      <c r="B59" s="19" t="inlineStr">
        <is>
          <t>B L saha</t>
        </is>
      </c>
      <c r="C59" s="19" t="inlineStr">
        <is>
          <t>Miscellaneous</t>
        </is>
      </c>
      <c r="D59" s="19" t="inlineStr">
        <is>
          <t>AVANTECH ENGINEERING CONSORTIUM PVT. LTD.</t>
        </is>
      </c>
      <c r="E59" s="19" t="inlineStr">
        <is>
          <t>Non-TES</t>
        </is>
      </c>
      <c r="F59" s="20" t="n">
        <v>46204</v>
      </c>
      <c r="G59" s="20" t="n">
        <v>46206</v>
      </c>
      <c r="H59" s="19" t="n">
        <v>1</v>
      </c>
      <c r="I59" s="21" t="n">
        <v>0.045</v>
      </c>
      <c r="J59" s="21" t="n">
        <v>0.044</v>
      </c>
    </row>
    <row r="60">
      <c r="A60" s="19" t="inlineStr">
        <is>
          <t>IOMC20260707033416</t>
        </is>
      </c>
      <c r="B60" s="19" t="inlineStr">
        <is>
          <t>B L saha</t>
        </is>
      </c>
      <c r="C60" s="19" t="inlineStr">
        <is>
          <t>Miscellaneous</t>
        </is>
      </c>
      <c r="D60" s="19" t="inlineStr">
        <is>
          <t>GREEN VIEW</t>
        </is>
      </c>
      <c r="E60" s="19" t="inlineStr">
        <is>
          <t>Non-TES</t>
        </is>
      </c>
      <c r="F60" s="20" t="n">
        <v>46206</v>
      </c>
      <c r="G60" s="20" t="n">
        <v>46211</v>
      </c>
      <c r="H60" s="19" t="n">
        <v>1</v>
      </c>
      <c r="I60" s="21" t="n">
        <v>0.00354</v>
      </c>
      <c r="J60" s="21" t="n">
        <v>0.003</v>
      </c>
    </row>
    <row r="61">
      <c r="A61" s="19" t="inlineStr">
        <is>
          <t>IOMC20260723125235</t>
        </is>
      </c>
      <c r="B61" s="19" t="inlineStr">
        <is>
          <t>B L saha</t>
        </is>
      </c>
      <c r="C61" s="19" t="inlineStr">
        <is>
          <t>Supply of safety equipment</t>
        </is>
      </c>
      <c r="D61" s="19" t="inlineStr">
        <is>
          <t>Rishikesh Enterprise</t>
        </is>
      </c>
      <c r="E61" s="19" t="inlineStr">
        <is>
          <t>Non-TES</t>
        </is>
      </c>
      <c r="F61" s="20" t="n">
        <v>46224</v>
      </c>
      <c r="G61" s="20" t="n">
        <v>46227</v>
      </c>
      <c r="H61" s="19" t="n">
        <v>1</v>
      </c>
      <c r="I61" s="21" t="n">
        <v>0.004</v>
      </c>
      <c r="J61" s="21" t="n">
        <v>0.0072</v>
      </c>
    </row>
    <row r="62">
      <c r="A62" s="19" t="inlineStr">
        <is>
          <t>IOMC20260723125235</t>
        </is>
      </c>
      <c r="B62" s="19" t="inlineStr">
        <is>
          <t>B L saha</t>
        </is>
      </c>
      <c r="C62" s="19" t="inlineStr">
        <is>
          <t>Supply of safety equipment</t>
        </is>
      </c>
      <c r="D62" s="19" t="inlineStr">
        <is>
          <t>JAIN SAFEWELD PRIVATE LIMITED</t>
        </is>
      </c>
      <c r="E62" s="19" t="inlineStr">
        <is>
          <t>Non-TES</t>
        </is>
      </c>
      <c r="F62" s="20" t="n">
        <v>46224</v>
      </c>
      <c r="G62" s="20" t="n">
        <v>46227</v>
      </c>
      <c r="H62" s="19" t="n">
        <v>0</v>
      </c>
      <c r="I62" s="21" t="n">
        <v>0.0047</v>
      </c>
      <c r="J62" s="21" t="n">
        <v>0</v>
      </c>
    </row>
    <row r="63">
      <c r="A63" s="19" t="inlineStr">
        <is>
          <t>IOMC20260803170334</t>
        </is>
      </c>
      <c r="B63" s="19" t="inlineStr">
        <is>
          <t>B L saha</t>
        </is>
      </c>
      <c r="C63" s="19" t="inlineStr">
        <is>
          <t>Finishing - General</t>
        </is>
      </c>
      <c r="D63" s="19" t="inlineStr">
        <is>
          <t>M/S PACIFIC ENGINEERS</t>
        </is>
      </c>
      <c r="E63" s="19" t="inlineStr">
        <is>
          <t>TES</t>
        </is>
      </c>
      <c r="F63" s="20" t="n">
        <v>46123</v>
      </c>
      <c r="G63" s="20" t="n">
        <v>46238</v>
      </c>
      <c r="H63" s="19" t="n">
        <v>1</v>
      </c>
      <c r="I63" s="21" t="n">
        <v>12.18</v>
      </c>
      <c r="J63" s="21" t="n">
        <v>27.07</v>
      </c>
    </row>
    <row r="64">
      <c r="A64" s="19" t="inlineStr">
        <is>
          <t>IOMC20260803170334</t>
        </is>
      </c>
      <c r="B64" s="19" t="inlineStr">
        <is>
          <t>B L saha</t>
        </is>
      </c>
      <c r="C64" s="19" t="inlineStr">
        <is>
          <t>Finishing - General</t>
        </is>
      </c>
      <c r="D64" s="19" t="inlineStr">
        <is>
          <t>Jyoti Tiles LLP</t>
        </is>
      </c>
      <c r="E64" s="19" t="inlineStr">
        <is>
          <t>TES</t>
        </is>
      </c>
      <c r="F64" s="20" t="n">
        <v>46123</v>
      </c>
      <c r="G64" s="20" t="n">
        <v>46238</v>
      </c>
      <c r="H64" s="19" t="n">
        <v>0</v>
      </c>
      <c r="I64" s="21" t="n">
        <v>16.33</v>
      </c>
      <c r="J64" s="21" t="n">
        <v>0</v>
      </c>
    </row>
    <row r="65">
      <c r="A65" s="19" t="inlineStr">
        <is>
          <t>IOMC20260806231537</t>
        </is>
      </c>
      <c r="B65" s="19" t="inlineStr">
        <is>
          <t>B L saha</t>
        </is>
      </c>
      <c r="C65" s="19" t="inlineStr">
        <is>
          <t>Miscellaneous</t>
        </is>
      </c>
      <c r="D65" s="19" t="inlineStr">
        <is>
          <t>Walter P Moore</t>
        </is>
      </c>
      <c r="E65" s="19" t="inlineStr">
        <is>
          <t>Non-TES</t>
        </is>
      </c>
      <c r="F65" s="20" t="n">
        <v>46240</v>
      </c>
      <c r="G65" s="20" t="n">
        <v>46241</v>
      </c>
      <c r="H65" s="19" t="n">
        <v>1</v>
      </c>
      <c r="I65" s="21" t="n">
        <v>0.003</v>
      </c>
      <c r="J65" s="21" t="n">
        <v>0.003</v>
      </c>
    </row>
    <row r="66">
      <c r="A66" s="19" t="inlineStr">
        <is>
          <t>IOMC20260814184540</t>
        </is>
      </c>
      <c r="B66" s="19" t="inlineStr">
        <is>
          <t>B L saha</t>
        </is>
      </c>
      <c r="C66" s="19" t="inlineStr">
        <is>
          <t>Miscellaneous</t>
        </is>
      </c>
      <c r="D66" s="19" t="inlineStr">
        <is>
          <t>ZOYA ENGINEERING &amp; CONSTRUCTION COMPANY</t>
        </is>
      </c>
      <c r="E66" s="19" t="inlineStr">
        <is>
          <t>Non-TES</t>
        </is>
      </c>
      <c r="F66" s="20" t="n">
        <v>46246</v>
      </c>
      <c r="G66" s="20" t="n">
        <v>46249</v>
      </c>
      <c r="H66" s="19" t="n">
        <v>1</v>
      </c>
      <c r="I66" s="21" t="n">
        <v>0.0193</v>
      </c>
      <c r="J66" s="21" t="n">
        <v>0.0179</v>
      </c>
    </row>
    <row r="67">
      <c r="A67" s="19" t="inlineStr">
        <is>
          <t>IOMC20260820145119</t>
        </is>
      </c>
      <c r="B67" s="19" t="inlineStr">
        <is>
          <t>B L saha</t>
        </is>
      </c>
      <c r="C67" s="19" t="inlineStr">
        <is>
          <t>Miscellaneous</t>
        </is>
      </c>
      <c r="D67" s="19" t="inlineStr">
        <is>
          <t>G S Automation</t>
        </is>
      </c>
      <c r="E67" s="19" t="inlineStr"/>
      <c r="F67" s="20" t="n">
        <v>46238</v>
      </c>
      <c r="G67" s="20" t="n">
        <v>46255</v>
      </c>
      <c r="H67" s="19" t="n">
        <v>1</v>
      </c>
      <c r="I67" s="21" t="n">
        <v>0.1152</v>
      </c>
      <c r="J67" s="21" t="n">
        <v>0.1104</v>
      </c>
    </row>
    <row r="68">
      <c r="A68" s="19" t="inlineStr">
        <is>
          <t>IOMC20260827161019</t>
        </is>
      </c>
      <c r="B68" s="19" t="inlineStr">
        <is>
          <t>B L saha</t>
        </is>
      </c>
      <c r="C68" s="19" t="inlineStr">
        <is>
          <t>MEP - Lifts</t>
        </is>
      </c>
      <c r="D68" s="19" t="inlineStr">
        <is>
          <t>Schindler India Pvt. Ltd.</t>
        </is>
      </c>
      <c r="E68" s="19" t="inlineStr"/>
      <c r="F68" s="20" t="n">
        <v>46135</v>
      </c>
      <c r="G68" s="20" t="n">
        <v>46262</v>
      </c>
      <c r="H68" s="19" t="n">
        <v>1</v>
      </c>
      <c r="I68" s="21" t="n">
        <v>7.74</v>
      </c>
      <c r="J68" s="21" t="n">
        <v>6.91</v>
      </c>
    </row>
    <row r="69">
      <c r="A69" s="19" t="inlineStr">
        <is>
          <t>IOMC20260827201049</t>
        </is>
      </c>
      <c r="B69" s="19" t="inlineStr">
        <is>
          <t>B L saha</t>
        </is>
      </c>
      <c r="C69" s="19" t="inlineStr">
        <is>
          <t>MEP - Plumbing</t>
        </is>
      </c>
      <c r="D69" s="19" t="inlineStr">
        <is>
          <t>SANITECH INFRASTRUCTURES PVT LTD</t>
        </is>
      </c>
      <c r="E69" s="19" t="inlineStr"/>
      <c r="F69" s="20" t="n">
        <v>46241</v>
      </c>
      <c r="G69" s="20" t="n">
        <v>46262</v>
      </c>
      <c r="H69" s="19" t="n">
        <v>1</v>
      </c>
      <c r="I69" s="21" t="n">
        <v>0.0467</v>
      </c>
      <c r="J69" s="21" t="n">
        <v>0.0366</v>
      </c>
    </row>
    <row r="70">
      <c r="A70" s="19" t="inlineStr">
        <is>
          <t>IOMC20260331125218</t>
        </is>
      </c>
      <c r="B70" s="19" t="inlineStr">
        <is>
          <t>Godrej Ushti 1</t>
        </is>
      </c>
      <c r="C70" s="19" t="inlineStr">
        <is>
          <t>Miscellaneous</t>
        </is>
      </c>
      <c r="D70" s="19" t="inlineStr">
        <is>
          <t>P.T.Enterprise</t>
        </is>
      </c>
      <c r="E70" s="19" t="inlineStr">
        <is>
          <t>Non-TES</t>
        </is>
      </c>
      <c r="F70" s="20" t="n">
        <v>46099</v>
      </c>
      <c r="G70" s="20" t="n">
        <v>46113</v>
      </c>
      <c r="H70" s="19" t="n">
        <v>1</v>
      </c>
      <c r="I70" s="21" t="n">
        <v>0.0044</v>
      </c>
      <c r="J70" s="21" t="n">
        <v>0.0044</v>
      </c>
    </row>
    <row r="71">
      <c r="A71" s="19" t="inlineStr">
        <is>
          <t>IOMC20260420111543</t>
        </is>
      </c>
      <c r="B71" s="19" t="inlineStr">
        <is>
          <t>Godrej Ushti 1</t>
        </is>
      </c>
      <c r="C71" s="19" t="inlineStr">
        <is>
          <t>Miscellaneous / other</t>
        </is>
      </c>
      <c r="D71" s="19" t="inlineStr">
        <is>
          <t>Loyalie It Solutions Pvt Ltd</t>
        </is>
      </c>
      <c r="E71" s="19" t="inlineStr">
        <is>
          <t>Non-TES</t>
        </is>
      </c>
      <c r="F71" s="20" t="n">
        <v>46132</v>
      </c>
      <c r="G71" s="20" t="n">
        <v>46133</v>
      </c>
      <c r="H71" s="19" t="n">
        <v>1</v>
      </c>
      <c r="I71" s="21" t="n">
        <v>0.0253</v>
      </c>
      <c r="J71" s="21" t="n">
        <v>0.0253</v>
      </c>
    </row>
    <row r="72">
      <c r="A72" s="19" t="inlineStr">
        <is>
          <t>IOMC20260422104844</t>
        </is>
      </c>
      <c r="B72" s="19" t="inlineStr">
        <is>
          <t>Godrej Ushti 1</t>
        </is>
      </c>
      <c r="C72" s="19" t="inlineStr">
        <is>
          <t>MOSA infrastructure work</t>
        </is>
      </c>
      <c r="D72" s="19" t="inlineStr">
        <is>
          <t>GREEN VIEW</t>
        </is>
      </c>
      <c r="E72" s="19" t="inlineStr">
        <is>
          <t>Non-TES</t>
        </is>
      </c>
      <c r="F72" s="20" t="n">
        <v>46126</v>
      </c>
      <c r="G72" s="20" t="n">
        <v>46135</v>
      </c>
      <c r="H72" s="19" t="n">
        <v>1</v>
      </c>
      <c r="I72" s="21" t="n">
        <v>0.013</v>
      </c>
      <c r="J72" s="21" t="n">
        <v>0.0124</v>
      </c>
    </row>
    <row r="73">
      <c r="A73" s="19" t="inlineStr">
        <is>
          <t>IOMC20260504065517</t>
        </is>
      </c>
      <c r="B73" s="19" t="inlineStr">
        <is>
          <t>Godrej Ushti 1</t>
        </is>
      </c>
      <c r="C73" s="19" t="inlineStr">
        <is>
          <t>Civil - General</t>
        </is>
      </c>
      <c r="D73" s="19" t="inlineStr">
        <is>
          <t>M&amp;M Foundation</t>
        </is>
      </c>
      <c r="E73" s="19" t="inlineStr">
        <is>
          <t>TES</t>
        </is>
      </c>
      <c r="F73" s="20" t="n">
        <v>46108</v>
      </c>
      <c r="G73" s="20" t="n">
        <v>46147</v>
      </c>
      <c r="H73" s="19" t="n">
        <v>1</v>
      </c>
      <c r="I73" s="21" t="n">
        <v>1.6445</v>
      </c>
      <c r="J73" s="21" t="n">
        <v>1.6002</v>
      </c>
    </row>
    <row r="74">
      <c r="A74" s="19" t="inlineStr">
        <is>
          <t>IOMC20260508120852</t>
        </is>
      </c>
      <c r="B74" s="19" t="inlineStr">
        <is>
          <t>Godrej Ushti 1</t>
        </is>
      </c>
      <c r="C74" s="19" t="inlineStr">
        <is>
          <t>Civil - General</t>
        </is>
      </c>
      <c r="D74" s="19" t="inlineStr">
        <is>
          <t>SUDHIR KUMAR DHIRAJ KUMAR</t>
        </is>
      </c>
      <c r="E74" s="19" t="inlineStr">
        <is>
          <t>TES</t>
        </is>
      </c>
      <c r="F74" s="20" t="n">
        <v>46143</v>
      </c>
      <c r="G74" s="20" t="n">
        <v>46151</v>
      </c>
      <c r="H74" s="19" t="n">
        <v>1</v>
      </c>
      <c r="I74" s="21" t="n">
        <v>0.2999</v>
      </c>
      <c r="J74" s="21" t="n">
        <v>0.2886</v>
      </c>
    </row>
    <row r="75">
      <c r="A75" s="19" t="inlineStr">
        <is>
          <t>IOMC20260519103610</t>
        </is>
      </c>
      <c r="B75" s="19" t="inlineStr">
        <is>
          <t>Godrej Ushti 1</t>
        </is>
      </c>
      <c r="C75" s="19" t="inlineStr">
        <is>
          <t>MEP - Electrical</t>
        </is>
      </c>
      <c r="D75" s="19" t="inlineStr">
        <is>
          <t>B.R.CONSTRUCTION</t>
        </is>
      </c>
      <c r="E75" s="19" t="inlineStr">
        <is>
          <t>TES</t>
        </is>
      </c>
      <c r="F75" s="20" t="n">
        <v>46100</v>
      </c>
      <c r="G75" s="20" t="n">
        <v>46162</v>
      </c>
      <c r="H75" s="19" t="n">
        <v>1</v>
      </c>
      <c r="I75" s="21" t="n">
        <v>0.249</v>
      </c>
      <c r="J75" s="21" t="n">
        <v>0.2311</v>
      </c>
    </row>
    <row r="76">
      <c r="A76" s="19" t="inlineStr">
        <is>
          <t>IOMC20260527035005</t>
        </is>
      </c>
      <c r="B76" s="19" t="inlineStr">
        <is>
          <t>Godrej Ushti 1</t>
        </is>
      </c>
      <c r="C76" s="19" t="inlineStr">
        <is>
          <t>Civil - General</t>
        </is>
      </c>
      <c r="D76" s="19" t="inlineStr">
        <is>
          <t>SGK INFRA ARCHITECTURE CO</t>
        </is>
      </c>
      <c r="E76" s="19" t="inlineStr">
        <is>
          <t>TES</t>
        </is>
      </c>
      <c r="F76" s="20" t="n">
        <v>46143</v>
      </c>
      <c r="G76" s="20" t="n">
        <v>46170</v>
      </c>
      <c r="H76" s="19" t="n">
        <v>1</v>
      </c>
      <c r="I76" s="21" t="n">
        <v>0.7136</v>
      </c>
      <c r="J76" s="21" t="n">
        <v>0.6758999999999999</v>
      </c>
    </row>
    <row r="77">
      <c r="A77" s="19" t="inlineStr">
        <is>
          <t>IOMC20260609060953</t>
        </is>
      </c>
      <c r="B77" s="19" t="inlineStr">
        <is>
          <t>Godrej Ushti 1</t>
        </is>
      </c>
      <c r="C77" s="19" t="inlineStr">
        <is>
          <t>Supply of material</t>
        </is>
      </c>
      <c r="D77" s="19" t="inlineStr">
        <is>
          <t>SOOR NEOGI COOMAR &amp; CO. PVT. LTD.</t>
        </is>
      </c>
      <c r="E77" s="19" t="inlineStr">
        <is>
          <t>Non-TES</t>
        </is>
      </c>
      <c r="F77" s="20" t="n">
        <v>46177</v>
      </c>
      <c r="G77" s="20" t="n">
        <v>46183</v>
      </c>
      <c r="H77" s="19" t="n">
        <v>1</v>
      </c>
      <c r="I77" s="21" t="n">
        <v>0.1381</v>
      </c>
      <c r="J77" s="21" t="n">
        <v>0.1381</v>
      </c>
    </row>
    <row r="78">
      <c r="A78" s="19" t="inlineStr">
        <is>
          <t>IOMC20260609080222</t>
        </is>
      </c>
      <c r="B78" s="19" t="inlineStr">
        <is>
          <t>Godrej Ushti 1</t>
        </is>
      </c>
      <c r="C78" s="19" t="inlineStr">
        <is>
          <t>Supply of material</t>
        </is>
      </c>
      <c r="D78" s="19" t="inlineStr">
        <is>
          <t>PAVE INDIA ENTERPRISE</t>
        </is>
      </c>
      <c r="E78" s="19" t="inlineStr">
        <is>
          <t>Non-TES</t>
        </is>
      </c>
      <c r="F78" s="20" t="n">
        <v>46182</v>
      </c>
      <c r="G78" s="20" t="n">
        <v>46183</v>
      </c>
      <c r="H78" s="19" t="n">
        <v>1</v>
      </c>
      <c r="I78" s="21" t="n">
        <v>0.0644</v>
      </c>
      <c r="J78" s="21" t="n">
        <v>0.0644</v>
      </c>
    </row>
    <row r="79">
      <c r="A79" s="19" t="inlineStr">
        <is>
          <t>IOMC20260618023626</t>
        </is>
      </c>
      <c r="B79" s="19" t="inlineStr">
        <is>
          <t>Godrej Ushti 1</t>
        </is>
      </c>
      <c r="C79" s="19" t="inlineStr">
        <is>
          <t>Housekeeping, site office, temporary office</t>
        </is>
      </c>
      <c r="D79" s="19" t="inlineStr">
        <is>
          <t>Sudhir Kumar Dhiraj Kumar</t>
        </is>
      </c>
      <c r="E79" s="19" t="inlineStr">
        <is>
          <t>Non-TES</t>
        </is>
      </c>
      <c r="F79" s="20" t="n">
        <v>46183</v>
      </c>
      <c r="G79" s="20" t="n">
        <v>46192</v>
      </c>
      <c r="H79" s="19" t="n">
        <v>1</v>
      </c>
      <c r="I79" s="21" t="n">
        <v>0.0825</v>
      </c>
      <c r="J79" s="21" t="n">
        <v>0.0781</v>
      </c>
    </row>
    <row r="80">
      <c r="A80" s="19" t="inlineStr">
        <is>
          <t>IOMC20260618041029</t>
        </is>
      </c>
      <c r="B80" s="19" t="inlineStr">
        <is>
          <t>Godrej Ushti 1</t>
        </is>
      </c>
      <c r="C80" s="19" t="inlineStr">
        <is>
          <t>Infrastructure - Sinages</t>
        </is>
      </c>
      <c r="D80" s="19" t="inlineStr">
        <is>
          <t>A K Enterprise</t>
        </is>
      </c>
      <c r="E80" s="19" t="inlineStr">
        <is>
          <t>TES</t>
        </is>
      </c>
      <c r="F80" s="20" t="n">
        <v>46162</v>
      </c>
      <c r="G80" s="20" t="n">
        <v>46192</v>
      </c>
      <c r="H80" s="19" t="n">
        <v>1</v>
      </c>
      <c r="I80" s="21" t="n">
        <v>0.2801</v>
      </c>
      <c r="J80" s="21" t="n">
        <v>0.2606</v>
      </c>
    </row>
    <row r="81">
      <c r="A81" s="19" t="inlineStr">
        <is>
          <t>IOMC20260629040050</t>
        </is>
      </c>
      <c r="B81" s="19" t="inlineStr">
        <is>
          <t>Godrej Ushti 1</t>
        </is>
      </c>
      <c r="C81" s="19" t="inlineStr">
        <is>
          <t>MEP - Electrical</t>
        </is>
      </c>
      <c r="D81" s="19" t="inlineStr">
        <is>
          <t>RSM PROJECTS &amp; ENGINEERS PRIVATE LIMITED</t>
        </is>
      </c>
      <c r="E81" s="19" t="inlineStr">
        <is>
          <t>TES</t>
        </is>
      </c>
      <c r="F81" s="20" t="n">
        <v>46173</v>
      </c>
      <c r="G81" s="20" t="n">
        <v>46203</v>
      </c>
      <c r="H81" s="19" t="n">
        <v>1</v>
      </c>
      <c r="I81" s="21" t="n">
        <v>0.2239</v>
      </c>
      <c r="J81" s="21" t="n">
        <v>0.1072</v>
      </c>
    </row>
    <row r="82">
      <c r="A82" s="19" t="inlineStr">
        <is>
          <t>IOMC20260716115425</t>
        </is>
      </c>
      <c r="B82" s="19" t="inlineStr">
        <is>
          <t>Godrej Ushti 1</t>
        </is>
      </c>
      <c r="C82" s="19" t="inlineStr">
        <is>
          <t>MOSA infrastructure work</t>
        </is>
      </c>
      <c r="D82" s="19" t="inlineStr">
        <is>
          <t>GREEN VIEW</t>
        </is>
      </c>
      <c r="E82" s="19" t="inlineStr">
        <is>
          <t>TES</t>
        </is>
      </c>
      <c r="F82" s="20" t="n">
        <v>46216</v>
      </c>
      <c r="G82" s="20" t="n">
        <v>46220</v>
      </c>
      <c r="H82" s="19" t="n">
        <v>1</v>
      </c>
      <c r="I82" s="21" t="n">
        <v>0.07000000000000001</v>
      </c>
      <c r="J82" s="21" t="n">
        <v>0.07000000000000001</v>
      </c>
    </row>
    <row r="83">
      <c r="A83" s="19" t="inlineStr">
        <is>
          <t>IOMC20260716190154</t>
        </is>
      </c>
      <c r="B83" s="19" t="inlineStr">
        <is>
          <t>Godrej Ushti 1</t>
        </is>
      </c>
      <c r="C83" s="19" t="inlineStr">
        <is>
          <t>Miscellaneous</t>
        </is>
      </c>
      <c r="D83" s="19" t="inlineStr">
        <is>
          <t>SANITECH INFRASTRUCTURES PVT LTD</t>
        </is>
      </c>
      <c r="E83" s="19" t="inlineStr">
        <is>
          <t>Non-TES</t>
        </is>
      </c>
      <c r="F83" s="20" t="n">
        <v>46204</v>
      </c>
      <c r="G83" s="20" t="n">
        <v>46220</v>
      </c>
      <c r="H83" s="19" t="n">
        <v>1</v>
      </c>
      <c r="I83" s="21" t="n">
        <v>0.0017</v>
      </c>
      <c r="J83" s="21" t="n">
        <v>0.0017</v>
      </c>
    </row>
    <row r="84">
      <c r="A84" s="19" t="inlineStr">
        <is>
          <t>IOMC20260727200221</t>
        </is>
      </c>
      <c r="B84" s="19" t="inlineStr">
        <is>
          <t>Godrej Ushti 1</t>
        </is>
      </c>
      <c r="C84" s="19" t="inlineStr">
        <is>
          <t>MEP - OWC</t>
        </is>
      </c>
      <c r="D84" s="19" t="inlineStr">
        <is>
          <t>3R URBAN SOLUTIONS PVT LTD</t>
        </is>
      </c>
      <c r="E84" s="19" t="inlineStr">
        <is>
          <t>TES</t>
        </is>
      </c>
      <c r="F84" s="20" t="n">
        <v>46256</v>
      </c>
      <c r="G84" s="20" t="n">
        <v>46262</v>
      </c>
      <c r="H84" s="19" t="n">
        <v>1</v>
      </c>
      <c r="I84" s="21" t="n">
        <v>0.094</v>
      </c>
      <c r="J84" s="21" t="n">
        <v>0.06859999999999999</v>
      </c>
    </row>
    <row r="85">
      <c r="A85" s="19" t="inlineStr">
        <is>
          <t>IOMC20260728134902</t>
        </is>
      </c>
      <c r="B85" s="19" t="inlineStr">
        <is>
          <t>Godrej Ushti 1</t>
        </is>
      </c>
      <c r="C85" s="19" t="inlineStr">
        <is>
          <t>Finishing - Al Windows/UPVC</t>
        </is>
      </c>
      <c r="D85" s="19" t="inlineStr">
        <is>
          <t>HINDUSTAN ALUMINIUM WORKS</t>
        </is>
      </c>
      <c r="E85" s="19" t="inlineStr">
        <is>
          <t>TES</t>
        </is>
      </c>
      <c r="F85" s="20" t="n">
        <v>46237</v>
      </c>
      <c r="G85" s="20" t="n">
        <v>46263</v>
      </c>
      <c r="H85" s="19" t="n">
        <v>1</v>
      </c>
      <c r="I85" s="21" t="n">
        <v>0.0242</v>
      </c>
      <c r="J85" s="21" t="n">
        <v>0.0182</v>
      </c>
    </row>
    <row r="86">
      <c r="A86" s="19" t="inlineStr">
        <is>
          <t>IOMC20260729185013</t>
        </is>
      </c>
      <c r="B86" s="19" t="inlineStr">
        <is>
          <t>Godrej Ushti 1</t>
        </is>
      </c>
      <c r="C86" s="19" t="inlineStr">
        <is>
          <t>MEP - Plumbing</t>
        </is>
      </c>
      <c r="D86" s="19" t="inlineStr">
        <is>
          <t>Sanitech Infrastructures Pvt Ltd</t>
        </is>
      </c>
      <c r="E86" s="19" t="inlineStr">
        <is>
          <t>TES</t>
        </is>
      </c>
      <c r="F86" s="20" t="n">
        <v>46235</v>
      </c>
      <c r="G86" s="20" t="n">
        <v>46264</v>
      </c>
      <c r="H86" s="19" t="n">
        <v>1</v>
      </c>
      <c r="I86" s="21" t="n">
        <v>0.4447</v>
      </c>
      <c r="J86" s="21" t="n">
        <v>0.3963</v>
      </c>
    </row>
    <row r="87">
      <c r="A87" s="19" t="inlineStr">
        <is>
          <t>IOMC20260730204038</t>
        </is>
      </c>
      <c r="B87" s="19" t="inlineStr">
        <is>
          <t>Godrej Ushti 1</t>
        </is>
      </c>
      <c r="C87" s="19" t="inlineStr">
        <is>
          <t>Supply of material</t>
        </is>
      </c>
      <c r="D87" s="19" t="inlineStr">
        <is>
          <t>Durga Pipes</t>
        </is>
      </c>
      <c r="E87" s="19" t="inlineStr">
        <is>
          <t>Non-TES</t>
        </is>
      </c>
      <c r="F87" s="20" t="n">
        <v>46230</v>
      </c>
      <c r="G87" s="20" t="n">
        <v>46234</v>
      </c>
      <c r="H87" s="19" t="n">
        <v>1</v>
      </c>
      <c r="I87" s="21" t="n">
        <v>0.0612</v>
      </c>
      <c r="J87" s="21" t="n">
        <v>0.0612</v>
      </c>
    </row>
    <row r="88">
      <c r="A88" s="19" t="inlineStr">
        <is>
          <t>IOMC20260805204041</t>
        </is>
      </c>
      <c r="B88" s="19" t="inlineStr">
        <is>
          <t>Godrej Ushti 1</t>
        </is>
      </c>
      <c r="C88" s="19" t="inlineStr">
        <is>
          <t>Supply of material</t>
        </is>
      </c>
      <c r="D88" s="19" t="inlineStr">
        <is>
          <t>Durga Pipes</t>
        </is>
      </c>
      <c r="E88" s="19" t="inlineStr">
        <is>
          <t>Non-TES</t>
        </is>
      </c>
      <c r="F88" s="20" t="n">
        <v>46237</v>
      </c>
      <c r="G88" s="20" t="n">
        <v>46240</v>
      </c>
      <c r="H88" s="19" t="n">
        <v>1</v>
      </c>
      <c r="I88" s="21" t="n">
        <v>0.1151</v>
      </c>
      <c r="J88" s="21" t="n">
        <v>0.1151</v>
      </c>
    </row>
    <row r="89">
      <c r="A89" s="19" t="inlineStr">
        <is>
          <t>IOMC20260809211106</t>
        </is>
      </c>
      <c r="B89" s="19" t="inlineStr">
        <is>
          <t>Godrej Ushti 1</t>
        </is>
      </c>
      <c r="C89" s="19" t="inlineStr">
        <is>
          <t>Minor civil &amp; finishing works</t>
        </is>
      </c>
      <c r="D89" s="19" t="inlineStr">
        <is>
          <t>Khan Enterprise</t>
        </is>
      </c>
      <c r="E89" s="19" t="inlineStr">
        <is>
          <t>Non-TES</t>
        </is>
      </c>
      <c r="F89" s="20" t="n">
        <v>46226</v>
      </c>
      <c r="G89" s="20" t="n">
        <v>46244</v>
      </c>
      <c r="H89" s="19" t="n">
        <v>1</v>
      </c>
      <c r="I89" s="21" t="n">
        <v>0.0162</v>
      </c>
      <c r="J89" s="21" t="n">
        <v>0.0158</v>
      </c>
    </row>
    <row r="90">
      <c r="A90" s="19" t="inlineStr">
        <is>
          <t>IOMC20260814182846</t>
        </is>
      </c>
      <c r="B90" s="19" t="inlineStr">
        <is>
          <t>Godrej Ushti 1</t>
        </is>
      </c>
      <c r="C90" s="19" t="inlineStr">
        <is>
          <t>Minor civil &amp; finishing works</t>
        </is>
      </c>
      <c r="D90" s="19" t="inlineStr">
        <is>
          <t>Khan Enterprise</t>
        </is>
      </c>
      <c r="E90" s="19" t="inlineStr">
        <is>
          <t>Non-TES</t>
        </is>
      </c>
      <c r="F90" s="20" t="n">
        <v>46226</v>
      </c>
      <c r="G90" s="20" t="n">
        <v>46249</v>
      </c>
      <c r="H90" s="19" t="n">
        <v>1</v>
      </c>
      <c r="I90" s="21" t="n">
        <v>0.0162</v>
      </c>
      <c r="J90" s="21" t="n">
        <v>0.0158</v>
      </c>
    </row>
    <row r="91">
      <c r="A91" s="19" t="inlineStr">
        <is>
          <t>IOMC20260816115058</t>
        </is>
      </c>
      <c r="B91" s="19" t="inlineStr">
        <is>
          <t>Godrej Ushti 1</t>
        </is>
      </c>
      <c r="C91" s="19" t="inlineStr">
        <is>
          <t>Infrastructure - Landscaping/Softscape</t>
        </is>
      </c>
      <c r="D91" s="19" t="inlineStr">
        <is>
          <t>Flora International Greenscapes Pvt. Ltd.</t>
        </is>
      </c>
      <c r="E91" s="19" t="inlineStr">
        <is>
          <t>Non-TES</t>
        </is>
      </c>
      <c r="F91" s="20" t="n">
        <v>46246</v>
      </c>
      <c r="G91" s="20" t="n">
        <v>46251</v>
      </c>
      <c r="H91" s="19" t="n">
        <v>1</v>
      </c>
      <c r="I91" s="21" t="n">
        <v>0.44</v>
      </c>
      <c r="J91" s="21" t="n">
        <v>0.6199</v>
      </c>
    </row>
    <row r="92">
      <c r="A92" s="19" t="inlineStr">
        <is>
          <t>IOMC20260816115058</t>
        </is>
      </c>
      <c r="B92" s="19" t="inlineStr">
        <is>
          <t>Godrej Ushti 1</t>
        </is>
      </c>
      <c r="C92" s="19" t="inlineStr">
        <is>
          <t>Infrastructure - Landscaping/Softscape</t>
        </is>
      </c>
      <c r="D92" s="19" t="inlineStr">
        <is>
          <t>ROYAL MICRO IRRIGATION SYSTEMS</t>
        </is>
      </c>
      <c r="E92" s="19" t="inlineStr">
        <is>
          <t>Non-TES</t>
        </is>
      </c>
      <c r="F92" s="20" t="n">
        <v>46246</v>
      </c>
      <c r="G92" s="20" t="n">
        <v>46251</v>
      </c>
      <c r="H92" s="19" t="n">
        <v>0</v>
      </c>
      <c r="I92" s="21" t="n">
        <v>0.44</v>
      </c>
      <c r="J92" s="21" t="n">
        <v>0</v>
      </c>
    </row>
    <row r="93">
      <c r="A93" s="19" t="inlineStr">
        <is>
          <t>IOMC20260902145936</t>
        </is>
      </c>
      <c r="B93" s="19" t="inlineStr">
        <is>
          <t>Godrej Ushti 1</t>
        </is>
      </c>
      <c r="C93" s="19" t="inlineStr">
        <is>
          <t>Civil - General</t>
        </is>
      </c>
      <c r="D93" s="19" t="inlineStr">
        <is>
          <t>ZOYA ENGINEERING &amp; CONSTRUCTION COMPANY</t>
        </is>
      </c>
      <c r="E93" s="19" t="inlineStr"/>
      <c r="F93" s="20" t="n">
        <v>46261</v>
      </c>
      <c r="G93" s="20" t="n">
        <v>46268</v>
      </c>
      <c r="H93" s="19" t="n">
        <v>1</v>
      </c>
      <c r="I93" s="21" t="n">
        <v>0.2302</v>
      </c>
      <c r="J93" s="21" t="n">
        <v>0.2244</v>
      </c>
    </row>
    <row r="94">
      <c r="A94" s="19" t="inlineStr">
        <is>
          <t>IOMC20260409041716</t>
        </is>
      </c>
      <c r="B94" s="19" t="inlineStr">
        <is>
          <t>Raipur Plotted 1</t>
        </is>
      </c>
      <c r="C94" s="19" t="inlineStr">
        <is>
          <t>MEP - STP / WTP</t>
        </is>
      </c>
      <c r="D94" s="19" t="inlineStr">
        <is>
          <t>PTC WATERTECH LLP</t>
        </is>
      </c>
      <c r="E94" s="19" t="inlineStr"/>
      <c r="F94" s="20" t="n">
        <v>46115</v>
      </c>
      <c r="G94" s="20" t="n">
        <v>46122</v>
      </c>
      <c r="H94" s="19" t="n">
        <v>1</v>
      </c>
      <c r="I94" s="21" t="n">
        <v>0.7711</v>
      </c>
      <c r="J94" s="21" t="n">
        <v>0.6951000000000001</v>
      </c>
    </row>
    <row r="95">
      <c r="A95" s="19" t="inlineStr">
        <is>
          <t>IOMC20260416064433</t>
        </is>
      </c>
      <c r="B95" s="19" t="inlineStr">
        <is>
          <t>Raipur Plotted 1</t>
        </is>
      </c>
      <c r="C95" s="19" t="inlineStr">
        <is>
          <t>Miscellaneous</t>
        </is>
      </c>
      <c r="D95" s="19" t="inlineStr">
        <is>
          <t>PS Enterprises</t>
        </is>
      </c>
      <c r="E95" s="19" t="inlineStr"/>
      <c r="F95" s="20" t="n">
        <v>46124</v>
      </c>
      <c r="G95" s="20" t="n">
        <v>46129</v>
      </c>
      <c r="H95" s="19" t="n">
        <v>1</v>
      </c>
      <c r="I95" s="21" t="n">
        <v>0.0069</v>
      </c>
      <c r="J95" s="21" t="n">
        <v>0.0067</v>
      </c>
    </row>
    <row r="96">
      <c r="A96" s="19" t="inlineStr">
        <is>
          <t>IOMC20260416072113</t>
        </is>
      </c>
      <c r="B96" s="19" t="inlineStr">
        <is>
          <t>Raipur Plotted 1</t>
        </is>
      </c>
      <c r="C96" s="19" t="inlineStr">
        <is>
          <t>Miscellaneous</t>
        </is>
      </c>
      <c r="D96" s="19" t="inlineStr">
        <is>
          <t>SMS INTEGRATED FACILITY SERVICES PRIVATE LIMITED</t>
        </is>
      </c>
      <c r="E96" s="19" t="inlineStr"/>
      <c r="F96" s="20" t="n">
        <v>46124</v>
      </c>
      <c r="G96" s="20" t="n">
        <v>46129</v>
      </c>
      <c r="H96" s="19" t="n">
        <v>1</v>
      </c>
      <c r="I96" s="21" t="n">
        <v>0.0111</v>
      </c>
      <c r="J96" s="21" t="n">
        <v>0.0111</v>
      </c>
    </row>
    <row r="97">
      <c r="A97" s="19" t="inlineStr">
        <is>
          <t>IOMC20260423061721</t>
        </is>
      </c>
      <c r="B97" s="19" t="inlineStr">
        <is>
          <t>Raipur Plotted 1</t>
        </is>
      </c>
      <c r="C97" s="19" t="inlineStr">
        <is>
          <t>MEP - Electrical</t>
        </is>
      </c>
      <c r="D97" s="19" t="inlineStr">
        <is>
          <t>Acharya Electrical</t>
        </is>
      </c>
      <c r="E97" s="19" t="inlineStr"/>
      <c r="F97" s="20" t="n">
        <v>46114</v>
      </c>
      <c r="G97" s="20" t="n">
        <v>46136</v>
      </c>
      <c r="H97" s="19" t="n">
        <v>1</v>
      </c>
      <c r="I97" s="21" t="n">
        <v>3.8238</v>
      </c>
      <c r="J97" s="21" t="n">
        <v>3.6505</v>
      </c>
    </row>
    <row r="98">
      <c r="A98" s="19" t="inlineStr">
        <is>
          <t>IOMC20260424070952</t>
        </is>
      </c>
      <c r="B98" s="19" t="inlineStr">
        <is>
          <t>Raipur Plotted 1</t>
        </is>
      </c>
      <c r="C98" s="19" t="inlineStr">
        <is>
          <t>Miscellaneous / other</t>
        </is>
      </c>
      <c r="D98" s="19" t="inlineStr">
        <is>
          <t>LOYALIE-IT SOLUTIONS PRIVATE LIMITED</t>
        </is>
      </c>
      <c r="E98" s="19" t="inlineStr"/>
      <c r="F98" s="20" t="n">
        <v>46132</v>
      </c>
      <c r="G98" s="20" t="n">
        <v>46137</v>
      </c>
      <c r="H98" s="19" t="n">
        <v>1</v>
      </c>
      <c r="I98" s="21" t="n">
        <v>0.0102</v>
      </c>
      <c r="J98" s="21" t="n">
        <v>0.0102</v>
      </c>
    </row>
    <row r="99">
      <c r="A99" s="19" t="inlineStr">
        <is>
          <t>IOMC20260515120423</t>
        </is>
      </c>
      <c r="B99" s="19" t="inlineStr">
        <is>
          <t>Raipur Plotted 1</t>
        </is>
      </c>
      <c r="C99" s="19" t="inlineStr">
        <is>
          <t>Finishing - Painting</t>
        </is>
      </c>
      <c r="D99" s="19" t="inlineStr">
        <is>
          <t>Khan Enterprise</t>
        </is>
      </c>
      <c r="E99" s="19" t="inlineStr"/>
      <c r="F99" s="20" t="n">
        <v>46151</v>
      </c>
      <c r="G99" s="20" t="n">
        <v>46158</v>
      </c>
      <c r="H99" s="19" t="n">
        <v>1</v>
      </c>
      <c r="I99" s="21" t="n">
        <v>0.0428</v>
      </c>
      <c r="J99" s="21" t="n">
        <v>0.0207</v>
      </c>
    </row>
    <row r="100">
      <c r="A100" s="19" t="inlineStr">
        <is>
          <t>IOMC20260525034756</t>
        </is>
      </c>
      <c r="B100" s="19" t="inlineStr">
        <is>
          <t>Raipur Plotted 1</t>
        </is>
      </c>
      <c r="C100" s="19" t="inlineStr">
        <is>
          <t>Miscellaneous</t>
        </is>
      </c>
      <c r="D100" s="19" t="inlineStr">
        <is>
          <t>OMEGA TEST HOUSE PRIVATE LIMITED</t>
        </is>
      </c>
      <c r="E100" s="19" t="inlineStr"/>
      <c r="F100" s="20" t="n">
        <v>46164</v>
      </c>
      <c r="G100" s="20" t="n">
        <v>46168</v>
      </c>
      <c r="H100" s="19" t="n">
        <v>1</v>
      </c>
      <c r="I100" s="21" t="n">
        <v>0.0057</v>
      </c>
      <c r="J100" s="21" t="n">
        <v>0.0055</v>
      </c>
    </row>
    <row r="101">
      <c r="A101" s="19" t="inlineStr">
        <is>
          <t>IOMC20260603062823</t>
        </is>
      </c>
      <c r="B101" s="19" t="inlineStr">
        <is>
          <t>Raipur Plotted 1</t>
        </is>
      </c>
      <c r="C101" s="19" t="inlineStr">
        <is>
          <t>Civil - Core &amp; Shell</t>
        </is>
      </c>
      <c r="D101" s="19" t="inlineStr">
        <is>
          <t>VINOD KUMAR JAIN</t>
        </is>
      </c>
      <c r="E101" s="19" t="inlineStr"/>
      <c r="F101" s="20" t="n">
        <v>45781</v>
      </c>
      <c r="G101" s="20" t="n">
        <v>46177</v>
      </c>
      <c r="H101" s="19" t="n">
        <v>1</v>
      </c>
      <c r="I101" s="21" t="n">
        <v>0.8072</v>
      </c>
      <c r="J101" s="21" t="n">
        <v>0.7857</v>
      </c>
    </row>
    <row r="102">
      <c r="A102" s="19" t="inlineStr">
        <is>
          <t>IOMC20260604064423</t>
        </is>
      </c>
      <c r="B102" s="19" t="inlineStr">
        <is>
          <t>Raipur Plotted 1</t>
        </is>
      </c>
      <c r="C102" s="19" t="inlineStr">
        <is>
          <t>Civil - Core &amp; Shell</t>
        </is>
      </c>
      <c r="D102" s="19" t="inlineStr">
        <is>
          <t>VINOD KUMAR JAIN</t>
        </is>
      </c>
      <c r="E102" s="19" t="inlineStr"/>
      <c r="F102" s="20" t="n">
        <v>46146</v>
      </c>
      <c r="G102" s="20" t="n">
        <v>46178</v>
      </c>
      <c r="H102" s="19" t="n">
        <v>1</v>
      </c>
      <c r="I102" s="21" t="n">
        <v>0.3928</v>
      </c>
      <c r="J102" s="21" t="n">
        <v>0.3794</v>
      </c>
    </row>
    <row r="103">
      <c r="A103" s="19" t="inlineStr">
        <is>
          <t>IOMC20260607123916</t>
        </is>
      </c>
      <c r="B103" s="19" t="inlineStr">
        <is>
          <t>Raipur Plotted 1</t>
        </is>
      </c>
      <c r="C103" s="19" t="inlineStr">
        <is>
          <t>Civil - Core &amp; Shell</t>
        </is>
      </c>
      <c r="D103" s="19" t="inlineStr">
        <is>
          <t>VINOD KUMAR JAIN</t>
        </is>
      </c>
      <c r="E103" s="19" t="inlineStr"/>
      <c r="F103" s="20" t="n">
        <v>46160</v>
      </c>
      <c r="G103" s="20" t="n">
        <v>46178</v>
      </c>
      <c r="H103" s="19" t="n">
        <v>1</v>
      </c>
      <c r="I103" s="21" t="n">
        <v>0.3348</v>
      </c>
      <c r="J103" s="21" t="n">
        <v>0.3248</v>
      </c>
    </row>
    <row r="104">
      <c r="A104" s="19" t="inlineStr">
        <is>
          <t>IOMC20260611120616</t>
        </is>
      </c>
      <c r="B104" s="19" t="inlineStr">
        <is>
          <t>Raipur Plotted 1</t>
        </is>
      </c>
      <c r="C104" s="19" t="inlineStr">
        <is>
          <t>Miscellaneous</t>
        </is>
      </c>
      <c r="D104" s="19" t="inlineStr">
        <is>
          <t>NITA FIRE SAFETY SOLUTIONS</t>
        </is>
      </c>
      <c r="E104" s="19" t="inlineStr"/>
      <c r="F104" s="20" t="n">
        <v>46183</v>
      </c>
      <c r="G104" s="20" t="n">
        <v>46185</v>
      </c>
      <c r="H104" s="19" t="n">
        <v>1</v>
      </c>
      <c r="I104" s="21" t="n">
        <v>0.0059</v>
      </c>
      <c r="J104" s="21" t="n">
        <v>0.0059</v>
      </c>
    </row>
    <row r="105">
      <c r="A105" s="19" t="inlineStr">
        <is>
          <t>IOMC20260629045401</t>
        </is>
      </c>
      <c r="B105" s="19" t="inlineStr">
        <is>
          <t>Raipur Plotted 1</t>
        </is>
      </c>
      <c r="C105" s="19" t="inlineStr">
        <is>
          <t>Civil - Core &amp; Shell</t>
        </is>
      </c>
      <c r="D105" s="19" t="inlineStr">
        <is>
          <t>M/s Aulia Infrastructure</t>
        </is>
      </c>
      <c r="E105" s="19" t="inlineStr"/>
      <c r="F105" s="20" t="n">
        <v>46108</v>
      </c>
      <c r="G105" s="20" t="n">
        <v>46203</v>
      </c>
      <c r="H105" s="19" t="n">
        <v>1</v>
      </c>
      <c r="I105" s="21" t="n">
        <v>0.28197</v>
      </c>
      <c r="J105" s="21" t="n">
        <v>0.26738</v>
      </c>
    </row>
    <row r="106">
      <c r="A106" s="19" t="inlineStr">
        <is>
          <t>IOMC20260706071758</t>
        </is>
      </c>
      <c r="B106" s="19" t="inlineStr">
        <is>
          <t>Raipur Plotted 1</t>
        </is>
      </c>
      <c r="C106" s="19" t="inlineStr">
        <is>
          <t>Civil - Core &amp; Shell</t>
        </is>
      </c>
      <c r="D106" s="19" t="inlineStr">
        <is>
          <t>Aquaplast Infracon Pvt Ltd</t>
        </is>
      </c>
      <c r="E106" s="19" t="inlineStr"/>
      <c r="F106" s="20" t="n">
        <v>46174</v>
      </c>
      <c r="G106" s="20" t="n">
        <v>46180</v>
      </c>
      <c r="H106" s="19" t="n">
        <v>1</v>
      </c>
      <c r="I106" s="21" t="n">
        <v>1.3092</v>
      </c>
      <c r="J106" s="21" t="n">
        <v>1.2707</v>
      </c>
    </row>
    <row r="107">
      <c r="A107" s="19" t="inlineStr">
        <is>
          <t>IOMC20260708040525</t>
        </is>
      </c>
      <c r="B107" s="19" t="inlineStr">
        <is>
          <t>Raipur Plotted 1</t>
        </is>
      </c>
      <c r="C107" s="19" t="inlineStr">
        <is>
          <t>Civil - Water Proofing and Expansion Joints</t>
        </is>
      </c>
      <c r="D107" s="19" t="inlineStr">
        <is>
          <t>PURVYAKRUTI SALES &amp; SERVICES PRIVATE LIMITED</t>
        </is>
      </c>
      <c r="E107" s="19" t="inlineStr"/>
      <c r="F107" s="20" t="n">
        <v>46176</v>
      </c>
      <c r="G107" s="20" t="n">
        <v>46212</v>
      </c>
      <c r="H107" s="19" t="n">
        <v>1</v>
      </c>
      <c r="I107" s="21" t="n">
        <v>0.6084000000000001</v>
      </c>
      <c r="J107" s="21" t="n">
        <v>0.595</v>
      </c>
    </row>
    <row r="108">
      <c r="A108" s="19" t="inlineStr">
        <is>
          <t>IOMC20260708042446</t>
        </is>
      </c>
      <c r="B108" s="19" t="inlineStr">
        <is>
          <t>Raipur Plotted 1</t>
        </is>
      </c>
      <c r="C108" s="19" t="inlineStr">
        <is>
          <t>Civil - Core &amp; Shell</t>
        </is>
      </c>
      <c r="D108" s="19" t="inlineStr">
        <is>
          <t>M/s Aulia Infrastructure</t>
        </is>
      </c>
      <c r="E108" s="19" t="inlineStr"/>
      <c r="F108" s="20" t="n">
        <v>46137</v>
      </c>
      <c r="G108" s="20" t="n">
        <v>46212</v>
      </c>
      <c r="H108" s="19" t="n">
        <v>1</v>
      </c>
      <c r="I108" s="21" t="n">
        <v>2.97438</v>
      </c>
      <c r="J108" s="21" t="n">
        <v>2.88398</v>
      </c>
    </row>
    <row r="109">
      <c r="A109" s="19" t="inlineStr">
        <is>
          <t>IOMC20260710120728</t>
        </is>
      </c>
      <c r="B109" s="19" t="inlineStr">
        <is>
          <t>Raipur Plotted 1</t>
        </is>
      </c>
      <c r="C109" s="19" t="inlineStr">
        <is>
          <t>Miscellaneous</t>
        </is>
      </c>
      <c r="D109" s="19" t="inlineStr">
        <is>
          <t>ORION PEST SOLUTIONS PRIVATE LIMITED</t>
        </is>
      </c>
      <c r="E109" s="19" t="inlineStr"/>
      <c r="F109" s="20" t="n">
        <v>46199</v>
      </c>
      <c r="G109" s="20" t="n">
        <v>46214</v>
      </c>
      <c r="H109" s="19" t="n">
        <v>1</v>
      </c>
      <c r="I109" s="21" t="n">
        <v>0.0059</v>
      </c>
      <c r="J109" s="21" t="n">
        <v>0.0046</v>
      </c>
    </row>
    <row r="110">
      <c r="A110" s="19" t="inlineStr">
        <is>
          <t>IOMC20260710122754</t>
        </is>
      </c>
      <c r="B110" s="19" t="inlineStr">
        <is>
          <t>Raipur Plotted 1</t>
        </is>
      </c>
      <c r="C110" s="19" t="inlineStr">
        <is>
          <t>Miscellaneous</t>
        </is>
      </c>
      <c r="D110" s="19" t="inlineStr">
        <is>
          <t>ORION PEST SOLUTIONS PRIVATE LIMITED</t>
        </is>
      </c>
      <c r="E110" s="19" t="inlineStr"/>
      <c r="F110" s="20" t="n">
        <v>46199</v>
      </c>
      <c r="G110" s="20" t="n">
        <v>46214</v>
      </c>
      <c r="H110" s="19" t="n">
        <v>1</v>
      </c>
      <c r="I110" s="21" t="n">
        <v>0.0117</v>
      </c>
      <c r="J110" s="21" t="n">
        <v>0.0064</v>
      </c>
    </row>
    <row r="111">
      <c r="A111" s="19" t="inlineStr">
        <is>
          <t>IOMC20260731163015</t>
        </is>
      </c>
      <c r="B111" s="19" t="inlineStr">
        <is>
          <t>Raipur Plotted 1</t>
        </is>
      </c>
      <c r="C111" s="19" t="inlineStr">
        <is>
          <t>MEP - STP / WTP</t>
        </is>
      </c>
      <c r="D111" s="19" t="inlineStr">
        <is>
          <t>PTC WATERTECH LLP</t>
        </is>
      </c>
      <c r="E111" s="19" t="inlineStr"/>
      <c r="F111" s="20" t="n">
        <v>46226</v>
      </c>
      <c r="G111" s="20" t="n">
        <v>46235</v>
      </c>
      <c r="H111" s="19" t="n">
        <v>1</v>
      </c>
      <c r="I111" s="21" t="n">
        <v>0.2716</v>
      </c>
      <c r="J111" s="21" t="n">
        <v>0.258</v>
      </c>
    </row>
    <row r="112">
      <c r="A112" s="19" t="inlineStr">
        <is>
          <t>IOMC20260813190317</t>
        </is>
      </c>
      <c r="B112" s="19" t="inlineStr">
        <is>
          <t>Raipur Plotted 1</t>
        </is>
      </c>
      <c r="C112" s="19" t="inlineStr">
        <is>
          <t>Housekeeping, site office, temporary office</t>
        </is>
      </c>
      <c r="D112" s="19" t="inlineStr">
        <is>
          <t>VINOD KUMAR JAIN</t>
        </is>
      </c>
      <c r="E112" s="19" t="inlineStr"/>
      <c r="F112" s="20" t="n">
        <v>46245</v>
      </c>
      <c r="G112" s="20" t="n">
        <v>46248</v>
      </c>
      <c r="H112" s="19" t="n">
        <v>1</v>
      </c>
      <c r="I112" s="21" t="n">
        <v>0.0808</v>
      </c>
      <c r="J112" s="21" t="n">
        <v>0.07829999999999999</v>
      </c>
    </row>
    <row r="113">
      <c r="A113" s="19" t="inlineStr">
        <is>
          <t>IOMC20260516112107</t>
        </is>
      </c>
      <c r="B113" s="19" t="inlineStr">
        <is>
          <t>Godrej Nonadanga</t>
        </is>
      </c>
      <c r="C113" s="19" t="inlineStr">
        <is>
          <t>Civil - General</t>
        </is>
      </c>
      <c r="D113" s="19" t="inlineStr">
        <is>
          <t>SUDHIR KUMAR DHIRAJ KUMAR</t>
        </is>
      </c>
      <c r="E113" s="19" t="inlineStr"/>
      <c r="F113" s="20" t="n">
        <v>46146</v>
      </c>
      <c r="G113" s="20" t="n">
        <v>46159</v>
      </c>
      <c r="H113" s="19" t="n">
        <v>1</v>
      </c>
      <c r="I113" s="21" t="n">
        <v>0.4251</v>
      </c>
      <c r="J113" s="21" t="n">
        <v>0.3571</v>
      </c>
    </row>
  </sheetData>
  <autoFilter ref="A1:J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8" customWidth="1" min="3" max="3"/>
    <col width="16" customWidth="1" min="4" max="4"/>
    <col width="14" customWidth="1" min="5" max="5"/>
    <col width="16" customWidth="1" min="6" max="6"/>
    <col width="19" customWidth="1" min="7" max="7"/>
    <col width="14" customWidth="1" min="8" max="8"/>
  </cols>
  <sheetData>
    <row r="1" ht="32" customHeight="1">
      <c r="A1" s="18" t="inlineStr">
        <is>
          <t>IOM Version</t>
        </is>
      </c>
      <c r="B1" s="18" t="inlineStr">
        <is>
          <t>Project</t>
        </is>
      </c>
      <c r="C1" s="18" t="inlineStr">
        <is>
          <t>Package</t>
        </is>
      </c>
      <c r="D1" s="18" t="inlineStr">
        <is>
          <t>TES / Non-TES</t>
        </is>
      </c>
      <c r="E1" s="18" t="inlineStr">
        <is>
          <t>Award Date</t>
        </is>
      </c>
      <c r="F1" s="18" t="inlineStr">
        <is>
          <t>Budget (₹ Cr)</t>
        </is>
      </c>
      <c r="G1" s="18" t="inlineStr">
        <is>
          <t>Award Value (₹ Cr)</t>
        </is>
      </c>
      <c r="H1" s="18" t="inlineStr">
        <is>
          <t>Awarded Count</t>
        </is>
      </c>
    </row>
    <row r="2">
      <c r="A2" s="19" t="inlineStr">
        <is>
          <t>IOMP20260330110946</t>
        </is>
      </c>
      <c r="B2" s="19" t="inlineStr">
        <is>
          <t>Godrej Joka</t>
        </is>
      </c>
      <c r="C2" s="19" t="inlineStr">
        <is>
          <t>Miscellaneous / other works</t>
        </is>
      </c>
      <c r="D2" s="19" t="inlineStr">
        <is>
          <t>Non-TES</t>
        </is>
      </c>
      <c r="E2" s="20" t="n">
        <v>46111</v>
      </c>
      <c r="F2" s="21" t="n">
        <v>0.0147</v>
      </c>
      <c r="G2" s="21" t="n">
        <v>0.0147</v>
      </c>
      <c r="H2" s="19" t="n">
        <v>1</v>
      </c>
    </row>
    <row r="3">
      <c r="A3" s="19" t="inlineStr">
        <is>
          <t>IOMP20260402084753</t>
        </is>
      </c>
      <c r="B3" s="19" t="inlineStr">
        <is>
          <t>Godrej Joka</t>
        </is>
      </c>
      <c r="C3" s="19" t="inlineStr">
        <is>
          <t>Civil - RMC</t>
        </is>
      </c>
      <c r="D3" s="19" t="inlineStr">
        <is>
          <t>TES</t>
        </is>
      </c>
      <c r="E3" s="20" t="n">
        <v>46114</v>
      </c>
      <c r="F3" s="21" t="n">
        <v>1.8</v>
      </c>
      <c r="G3" s="21" t="n">
        <v>1.7726</v>
      </c>
      <c r="H3" s="19" t="n">
        <v>1</v>
      </c>
    </row>
    <row r="4">
      <c r="A4" s="19" t="inlineStr">
        <is>
          <t>IOMP20260407041146</t>
        </is>
      </c>
      <c r="B4" s="19" t="inlineStr">
        <is>
          <t>Godrej Joka</t>
        </is>
      </c>
      <c r="C4" s="19" t="inlineStr">
        <is>
          <t>Civil - Steel Rebar</t>
        </is>
      </c>
      <c r="D4" s="19" t="inlineStr">
        <is>
          <t>TES</t>
        </is>
      </c>
      <c r="E4" s="20" t="n">
        <v>46119</v>
      </c>
      <c r="F4" s="21" t="n">
        <v>1.041</v>
      </c>
      <c r="G4" s="21" t="n">
        <v>1.0379</v>
      </c>
      <c r="H4" s="19" t="n">
        <v>1</v>
      </c>
    </row>
    <row r="5">
      <c r="A5" s="19" t="inlineStr">
        <is>
          <t>IOMP20260408112501</t>
        </is>
      </c>
      <c r="B5" s="19" t="inlineStr">
        <is>
          <t>Godrej Joka</t>
        </is>
      </c>
      <c r="C5" s="19" t="inlineStr">
        <is>
          <t>Civil - RMC</t>
        </is>
      </c>
      <c r="D5" s="19" t="inlineStr">
        <is>
          <t>TES</t>
        </is>
      </c>
      <c r="E5" s="20" t="n">
        <v>46120</v>
      </c>
      <c r="F5" s="21" t="n">
        <v>1.1658</v>
      </c>
      <c r="G5" s="21" t="n">
        <v>1.094</v>
      </c>
      <c r="H5" s="19" t="n">
        <v>1</v>
      </c>
    </row>
    <row r="6">
      <c r="A6" s="19" t="inlineStr">
        <is>
          <t>IOMP20260409085044</t>
        </is>
      </c>
      <c r="B6" s="19" t="inlineStr">
        <is>
          <t>Godrej Joka</t>
        </is>
      </c>
      <c r="C6" s="19" t="inlineStr">
        <is>
          <t>Miscellaneous / other works</t>
        </is>
      </c>
      <c r="D6" s="19" t="inlineStr">
        <is>
          <t>Non-TES</t>
        </is>
      </c>
      <c r="E6" s="20" t="n">
        <v>46121</v>
      </c>
      <c r="F6" s="21" t="n">
        <v>0.00766</v>
      </c>
      <c r="G6" s="21" t="n">
        <v>0.00766</v>
      </c>
      <c r="H6" s="19" t="n">
        <v>1</v>
      </c>
    </row>
    <row r="7">
      <c r="A7" s="19" t="inlineStr">
        <is>
          <t>IOMP20260425035921</t>
        </is>
      </c>
      <c r="B7" s="19" t="inlineStr">
        <is>
          <t>Godrej Joka</t>
        </is>
      </c>
      <c r="C7" s="19" t="inlineStr">
        <is>
          <t>Miscellaneous / other works</t>
        </is>
      </c>
      <c r="D7" s="19" t="inlineStr">
        <is>
          <t>Non-TES</t>
        </is>
      </c>
      <c r="E7" s="20" t="n">
        <v>46137</v>
      </c>
      <c r="F7" s="21" t="n">
        <v>0.0144</v>
      </c>
      <c r="G7" s="21" t="n">
        <v>0.0144</v>
      </c>
      <c r="H7" s="19" t="n">
        <v>1</v>
      </c>
    </row>
    <row r="8">
      <c r="A8" s="19" t="inlineStr">
        <is>
          <t>IOMP20260425041300</t>
        </is>
      </c>
      <c r="B8" s="19" t="inlineStr">
        <is>
          <t>Godrej Joka</t>
        </is>
      </c>
      <c r="C8" s="19" t="inlineStr">
        <is>
          <t>Miscellaneous / other works</t>
        </is>
      </c>
      <c r="D8" s="19" t="inlineStr">
        <is>
          <t>Non-TES</t>
        </is>
      </c>
      <c r="E8" s="20" t="n">
        <v>46137</v>
      </c>
      <c r="F8" s="21" t="n">
        <v>0.0644</v>
      </c>
      <c r="G8" s="21" t="n">
        <v>0.0644</v>
      </c>
      <c r="H8" s="19" t="n">
        <v>1</v>
      </c>
    </row>
    <row r="9">
      <c r="A9" s="19" t="inlineStr">
        <is>
          <t>IOMP20260427103519</t>
        </is>
      </c>
      <c r="B9" s="19" t="inlineStr">
        <is>
          <t>Godrej Joka</t>
        </is>
      </c>
      <c r="C9" s="19" t="inlineStr">
        <is>
          <t>Civil - Steel Rebar</t>
        </is>
      </c>
      <c r="D9" s="19" t="inlineStr">
        <is>
          <t>TES</t>
        </is>
      </c>
      <c r="E9" s="20" t="n">
        <v>46139</v>
      </c>
      <c r="F9" s="21" t="n">
        <v>0.7194</v>
      </c>
      <c r="G9" s="21" t="n">
        <v>0.6346000000000001</v>
      </c>
      <c r="H9" s="19" t="n">
        <v>1</v>
      </c>
    </row>
    <row r="10">
      <c r="A10" s="19" t="inlineStr">
        <is>
          <t>IOMP20260504043440</t>
        </is>
      </c>
      <c r="B10" s="19" t="inlineStr">
        <is>
          <t>Godrej Joka</t>
        </is>
      </c>
      <c r="C10" s="19" t="inlineStr">
        <is>
          <t>Civil - RMC</t>
        </is>
      </c>
      <c r="D10" s="19" t="inlineStr">
        <is>
          <t>TES</t>
        </is>
      </c>
      <c r="E10" s="20" t="n">
        <v>46146</v>
      </c>
      <c r="F10" s="21" t="n">
        <v>0.9609000000000001</v>
      </c>
      <c r="G10" s="21" t="n">
        <v>0.9321</v>
      </c>
      <c r="H10" s="19" t="n">
        <v>1</v>
      </c>
    </row>
    <row r="11">
      <c r="A11" s="19" t="inlineStr">
        <is>
          <t>IOMP20260511031924</t>
        </is>
      </c>
      <c r="B11" s="19" t="inlineStr">
        <is>
          <t>Godrej Joka</t>
        </is>
      </c>
      <c r="C11" s="19" t="inlineStr">
        <is>
          <t>Civil - Aluminium Formwork</t>
        </is>
      </c>
      <c r="D11" s="19" t="inlineStr"/>
      <c r="E11" s="20" t="n">
        <v>46153</v>
      </c>
      <c r="F11" s="21" t="n">
        <v>13.63</v>
      </c>
      <c r="G11" s="21" t="n">
        <v>13.41</v>
      </c>
      <c r="H11" s="19" t="n">
        <v>1</v>
      </c>
    </row>
    <row r="12">
      <c r="A12" s="19" t="inlineStr">
        <is>
          <t>IOMP20260515104639</t>
        </is>
      </c>
      <c r="B12" s="19" t="inlineStr">
        <is>
          <t>Godrej Joka</t>
        </is>
      </c>
      <c r="C12" s="19" t="inlineStr">
        <is>
          <t>Civil - Steel Rebar</t>
        </is>
      </c>
      <c r="D12" s="19" t="inlineStr">
        <is>
          <t>TES</t>
        </is>
      </c>
      <c r="E12" s="20" t="n">
        <v>46157</v>
      </c>
      <c r="F12" s="21" t="n">
        <v>0.396</v>
      </c>
      <c r="G12" s="21" t="n">
        <v>0.3736</v>
      </c>
      <c r="H12" s="19" t="n">
        <v>1</v>
      </c>
    </row>
    <row r="13">
      <c r="A13" s="19" t="inlineStr">
        <is>
          <t>IOMP20260521062624</t>
        </is>
      </c>
      <c r="B13" s="19" t="inlineStr">
        <is>
          <t>Godrej Joka</t>
        </is>
      </c>
      <c r="C13" s="19" t="inlineStr">
        <is>
          <t>Civil - RMC</t>
        </is>
      </c>
      <c r="D13" s="19" t="inlineStr">
        <is>
          <t>TES</t>
        </is>
      </c>
      <c r="E13" s="20" t="n">
        <v>46163</v>
      </c>
      <c r="F13" s="21" t="n">
        <v>0.1192</v>
      </c>
      <c r="G13" s="21" t="n">
        <v>0.1175</v>
      </c>
      <c r="H13" s="19" t="n">
        <v>1</v>
      </c>
    </row>
    <row r="14">
      <c r="A14" s="19" t="inlineStr">
        <is>
          <t>IOMP20260522100422</t>
        </is>
      </c>
      <c r="B14" s="19" t="inlineStr">
        <is>
          <t>Godrej Joka</t>
        </is>
      </c>
      <c r="C14" s="19" t="inlineStr">
        <is>
          <t>Civil - RMC</t>
        </is>
      </c>
      <c r="D14" s="19" t="inlineStr">
        <is>
          <t>TES</t>
        </is>
      </c>
      <c r="E14" s="20" t="n">
        <v>46164</v>
      </c>
      <c r="F14" s="21" t="n">
        <v>0.972</v>
      </c>
      <c r="G14" s="21" t="n">
        <v>0.9532</v>
      </c>
      <c r="H14" s="19" t="n">
        <v>1</v>
      </c>
    </row>
    <row r="15">
      <c r="A15" s="19" t="inlineStr">
        <is>
          <t>IOMP20260527110324</t>
        </is>
      </c>
      <c r="B15" s="19" t="inlineStr">
        <is>
          <t>Godrej Joka</t>
        </is>
      </c>
      <c r="C15" s="19" t="inlineStr">
        <is>
          <t>Civil - Steel Rebar</t>
        </is>
      </c>
      <c r="D15" s="19" t="inlineStr">
        <is>
          <t>TES</t>
        </is>
      </c>
      <c r="E15" s="20" t="n">
        <v>46169</v>
      </c>
      <c r="F15" s="21" t="n">
        <v>0.198</v>
      </c>
      <c r="G15" s="21" t="n">
        <v>0.1836</v>
      </c>
      <c r="H15" s="19" t="n">
        <v>1</v>
      </c>
    </row>
    <row r="16">
      <c r="A16" s="19" t="inlineStr">
        <is>
          <t>IOMP20260608070120</t>
        </is>
      </c>
      <c r="B16" s="19" t="inlineStr">
        <is>
          <t>Godrej Joka</t>
        </is>
      </c>
      <c r="C16" s="19" t="inlineStr">
        <is>
          <t>Civil - RMC</t>
        </is>
      </c>
      <c r="D16" s="19" t="inlineStr">
        <is>
          <t>TES</t>
        </is>
      </c>
      <c r="E16" s="20" t="n">
        <v>46181</v>
      </c>
      <c r="F16" s="21" t="n">
        <v>1.4771</v>
      </c>
      <c r="G16" s="21" t="n">
        <v>1.4134</v>
      </c>
      <c r="H16" s="19" t="n">
        <v>1</v>
      </c>
    </row>
    <row r="17">
      <c r="A17" s="19" t="inlineStr">
        <is>
          <t>IOMP20260618122433</t>
        </is>
      </c>
      <c r="B17" s="19" t="inlineStr">
        <is>
          <t>Godrej Joka</t>
        </is>
      </c>
      <c r="C17" s="19" t="inlineStr">
        <is>
          <t>Miscellaneous / other works</t>
        </is>
      </c>
      <c r="D17" s="19" t="inlineStr"/>
      <c r="E17" s="20" t="n">
        <v>46191</v>
      </c>
      <c r="F17" s="21" t="n">
        <v>0.00728</v>
      </c>
      <c r="G17" s="21" t="n">
        <v>0.00728</v>
      </c>
      <c r="H17" s="19" t="n">
        <v>1</v>
      </c>
    </row>
    <row r="18">
      <c r="A18" s="19" t="inlineStr">
        <is>
          <t>IOMP20260709122844</t>
        </is>
      </c>
      <c r="B18" s="19" t="inlineStr">
        <is>
          <t>Godrej Joka</t>
        </is>
      </c>
      <c r="C18" s="19" t="inlineStr">
        <is>
          <t>Civil - Steel Rebar</t>
        </is>
      </c>
      <c r="D18" s="19" t="inlineStr">
        <is>
          <t>TES</t>
        </is>
      </c>
      <c r="E18" s="20" t="n">
        <v>46212</v>
      </c>
      <c r="F18" s="21" t="n">
        <v>1.3514</v>
      </c>
      <c r="G18" s="21" t="n">
        <v>1.1674</v>
      </c>
      <c r="H18" s="19" t="n">
        <v>1</v>
      </c>
    </row>
    <row r="19">
      <c r="A19" s="19" t="inlineStr">
        <is>
          <t>IOMP20260718122004</t>
        </is>
      </c>
      <c r="B19" s="19" t="inlineStr">
        <is>
          <t>Godrej Joka</t>
        </is>
      </c>
      <c r="C19" s="19" t="inlineStr">
        <is>
          <t>Civil - Cement</t>
        </is>
      </c>
      <c r="D19" s="19" t="inlineStr"/>
      <c r="E19" s="20" t="n">
        <v>46221</v>
      </c>
      <c r="F19" s="21" t="n">
        <v>0.0229</v>
      </c>
      <c r="G19" s="21" t="n">
        <v>0.0229</v>
      </c>
      <c r="H19" s="19" t="n">
        <v>1</v>
      </c>
    </row>
    <row r="20">
      <c r="A20" s="19" t="inlineStr">
        <is>
          <t>IOMP20260718123408</t>
        </is>
      </c>
      <c r="B20" s="19" t="inlineStr">
        <is>
          <t>Godrej Joka</t>
        </is>
      </c>
      <c r="C20" s="19" t="inlineStr">
        <is>
          <t>Miscellaneous / other works</t>
        </is>
      </c>
      <c r="D20" s="19" t="inlineStr"/>
      <c r="E20" s="20" t="n">
        <v>46221</v>
      </c>
      <c r="F20" s="21" t="n">
        <v>0.0253</v>
      </c>
      <c r="G20" s="21" t="n">
        <v>0.0253</v>
      </c>
      <c r="H20" s="19" t="n">
        <v>1</v>
      </c>
    </row>
    <row r="21">
      <c r="A21" s="19" t="inlineStr">
        <is>
          <t>IOMP20260718125148</t>
        </is>
      </c>
      <c r="B21" s="19" t="inlineStr">
        <is>
          <t>Godrej Joka</t>
        </is>
      </c>
      <c r="C21" s="19" t="inlineStr">
        <is>
          <t>Miscellaneous / other works</t>
        </is>
      </c>
      <c r="D21" s="19" t="inlineStr"/>
      <c r="E21" s="20" t="n">
        <v>46221</v>
      </c>
      <c r="F21" s="21" t="n">
        <v>0.041</v>
      </c>
      <c r="G21" s="21" t="n">
        <v>0.041</v>
      </c>
      <c r="H21" s="19" t="n">
        <v>1</v>
      </c>
    </row>
    <row r="22">
      <c r="A22" s="19" t="inlineStr">
        <is>
          <t>IOMP20260723193610</t>
        </is>
      </c>
      <c r="B22" s="19" t="inlineStr">
        <is>
          <t>Godrej Joka</t>
        </is>
      </c>
      <c r="C22" s="19" t="inlineStr">
        <is>
          <t>Finishing - Tiles</t>
        </is>
      </c>
      <c r="D22" s="19" t="inlineStr"/>
      <c r="E22" s="20" t="n">
        <v>46226</v>
      </c>
      <c r="F22" s="21" t="n">
        <v>0.1062</v>
      </c>
      <c r="G22" s="21" t="n">
        <v>0.1032</v>
      </c>
      <c r="H22" s="19" t="n">
        <v>1</v>
      </c>
    </row>
    <row r="23">
      <c r="A23" s="19" t="inlineStr">
        <is>
          <t>IOMP20260729173346</t>
        </is>
      </c>
      <c r="B23" s="19" t="inlineStr">
        <is>
          <t>Godrej Joka</t>
        </is>
      </c>
      <c r="C23" s="19" t="inlineStr">
        <is>
          <t>MEP - Plumbing and Fire fighting equipments and fittings</t>
        </is>
      </c>
      <c r="D23" s="19" t="inlineStr"/>
      <c r="E23" s="20" t="n">
        <v>46232</v>
      </c>
      <c r="F23" s="21" t="n">
        <v>0.65</v>
      </c>
      <c r="G23" s="21" t="n">
        <v>0.538</v>
      </c>
      <c r="H23" s="19" t="n">
        <v>1</v>
      </c>
    </row>
    <row r="24">
      <c r="A24" s="19" t="inlineStr">
        <is>
          <t>IOMP20260730121059</t>
        </is>
      </c>
      <c r="B24" s="19" t="inlineStr">
        <is>
          <t>Godrej Joka</t>
        </is>
      </c>
      <c r="C24" s="19" t="inlineStr">
        <is>
          <t>Finishing - Tiles</t>
        </is>
      </c>
      <c r="D24" s="19" t="inlineStr"/>
      <c r="E24" s="20" t="n">
        <v>46233</v>
      </c>
      <c r="F24" s="21" t="n">
        <v>0.1844</v>
      </c>
      <c r="G24" s="21" t="n">
        <v>0.1727</v>
      </c>
      <c r="H24" s="19" t="n">
        <v>1</v>
      </c>
    </row>
    <row r="25">
      <c r="A25" s="19" t="inlineStr">
        <is>
          <t>IOMP20260730205912</t>
        </is>
      </c>
      <c r="B25" s="19" t="inlineStr">
        <is>
          <t>Godrej Joka</t>
        </is>
      </c>
      <c r="C25" s="19" t="inlineStr">
        <is>
          <t>Miscellaneous / other works</t>
        </is>
      </c>
      <c r="D25" s="19" t="inlineStr"/>
      <c r="E25" s="20" t="n">
        <v>46233</v>
      </c>
      <c r="F25" s="21" t="n">
        <v>0.00183</v>
      </c>
      <c r="G25" s="21" t="n">
        <v>0.00183</v>
      </c>
      <c r="H25" s="19" t="n">
        <v>1</v>
      </c>
    </row>
    <row r="26">
      <c r="A26" s="19" t="inlineStr">
        <is>
          <t>IOMP20260730211650</t>
        </is>
      </c>
      <c r="B26" s="19" t="inlineStr">
        <is>
          <t>Godrej Joka</t>
        </is>
      </c>
      <c r="C26" s="19" t="inlineStr">
        <is>
          <t>Civil - RMC</t>
        </is>
      </c>
      <c r="D26" s="19" t="inlineStr"/>
      <c r="E26" s="20" t="n">
        <v>46233</v>
      </c>
      <c r="F26" s="21" t="n">
        <v>1.647</v>
      </c>
      <c r="G26" s="21" t="n">
        <v>1.583</v>
      </c>
      <c r="H26" s="19" t="n">
        <v>1</v>
      </c>
    </row>
    <row r="27">
      <c r="A27" s="19" t="inlineStr">
        <is>
          <t>IOMP20260731201247</t>
        </is>
      </c>
      <c r="B27" s="19" t="inlineStr">
        <is>
          <t>Godrej Joka</t>
        </is>
      </c>
      <c r="C27" s="19" t="inlineStr">
        <is>
          <t>MEP - Electrical equipment and fitting</t>
        </is>
      </c>
      <c r="D27" s="19" t="inlineStr"/>
      <c r="E27" s="20" t="n">
        <v>46234</v>
      </c>
      <c r="F27" s="21" t="n">
        <v>0.0394</v>
      </c>
      <c r="G27" s="21" t="n">
        <v>0.03773</v>
      </c>
      <c r="H27" s="19" t="n">
        <v>1</v>
      </c>
    </row>
    <row r="28">
      <c r="A28" s="19" t="inlineStr">
        <is>
          <t>IOMP20260816164958</t>
        </is>
      </c>
      <c r="B28" s="19" t="inlineStr">
        <is>
          <t>Godrej Joka</t>
        </is>
      </c>
      <c r="C28" s="19" t="inlineStr">
        <is>
          <t>Miscellaneous / other works</t>
        </is>
      </c>
      <c r="D28" s="19" t="inlineStr"/>
      <c r="E28" s="20" t="n">
        <v>46250</v>
      </c>
      <c r="F28" s="21" t="n">
        <v>0.0073</v>
      </c>
      <c r="G28" s="21" t="n">
        <v>0.0073</v>
      </c>
      <c r="H28" s="19" t="n">
        <v>1</v>
      </c>
    </row>
    <row r="29">
      <c r="A29" s="19" t="inlineStr">
        <is>
          <t>IOMP20260816170023</t>
        </is>
      </c>
      <c r="B29" s="19" t="inlineStr">
        <is>
          <t>Godrej Joka</t>
        </is>
      </c>
      <c r="C29" s="19" t="inlineStr">
        <is>
          <t>Miscellaneous / other works</t>
        </is>
      </c>
      <c r="D29" s="19" t="inlineStr"/>
      <c r="E29" s="20" t="n">
        <v>46250</v>
      </c>
      <c r="F29" s="21" t="n">
        <v>0.1368</v>
      </c>
      <c r="G29" s="21" t="n">
        <v>0.0895</v>
      </c>
      <c r="H29" s="19" t="n">
        <v>1</v>
      </c>
    </row>
    <row r="30">
      <c r="A30" s="19" t="inlineStr">
        <is>
          <t>IOMP20260819195811</t>
        </is>
      </c>
      <c r="B30" s="19" t="inlineStr">
        <is>
          <t>Godrej Joka</t>
        </is>
      </c>
      <c r="C30" s="19" t="inlineStr">
        <is>
          <t>Civil - Steel Rebar</t>
        </is>
      </c>
      <c r="D30" s="19" t="inlineStr"/>
      <c r="E30" s="20" t="n">
        <v>46253</v>
      </c>
      <c r="F30" s="21" t="n">
        <v>2.1594</v>
      </c>
      <c r="G30" s="21" t="n">
        <v>1.8844</v>
      </c>
      <c r="H30" s="19" t="n">
        <v>1</v>
      </c>
    </row>
    <row r="31">
      <c r="A31" s="19" t="inlineStr">
        <is>
          <t>IOMP20260826114532</t>
        </is>
      </c>
      <c r="B31" s="19" t="inlineStr">
        <is>
          <t>Godrej Joka</t>
        </is>
      </c>
      <c r="C31" s="19" t="inlineStr">
        <is>
          <t>Civil - RMC</t>
        </is>
      </c>
      <c r="D31" s="19" t="inlineStr"/>
      <c r="E31" s="20" t="n">
        <v>46260</v>
      </c>
      <c r="F31" s="21" t="n">
        <v>0.5640000000000001</v>
      </c>
      <c r="G31" s="21" t="n">
        <v>0.5499000000000001</v>
      </c>
      <c r="H31" s="19" t="n">
        <v>1</v>
      </c>
    </row>
    <row r="32">
      <c r="A32" s="19" t="inlineStr">
        <is>
          <t>IOMP20260415061139</t>
        </is>
      </c>
      <c r="B32" s="19" t="inlineStr">
        <is>
          <t>B L saha</t>
        </is>
      </c>
      <c r="C32" s="19" t="inlineStr">
        <is>
          <t>Miscellaneous / other works</t>
        </is>
      </c>
      <c r="D32" s="19" t="inlineStr"/>
      <c r="E32" s="20" t="n">
        <v>46127</v>
      </c>
      <c r="F32" s="21" t="n">
        <v>0.264</v>
      </c>
      <c r="G32" s="21" t="n">
        <v>0.2508</v>
      </c>
      <c r="H32" s="19" t="n">
        <v>1</v>
      </c>
    </row>
    <row r="33">
      <c r="A33" s="19" t="inlineStr">
        <is>
          <t>IOMP20260415062933</t>
        </is>
      </c>
      <c r="B33" s="19" t="inlineStr">
        <is>
          <t>B L saha</t>
        </is>
      </c>
      <c r="C33" s="19" t="inlineStr">
        <is>
          <t>Civil - RMC</t>
        </is>
      </c>
      <c r="D33" s="19" t="inlineStr"/>
      <c r="E33" s="20" t="n">
        <v>46127</v>
      </c>
      <c r="F33" s="21" t="n">
        <v>29.1854</v>
      </c>
      <c r="G33" s="21" t="n">
        <v>27.5003</v>
      </c>
      <c r="H33" s="19" t="n">
        <v>1</v>
      </c>
    </row>
    <row r="34">
      <c r="A34" s="19" t="inlineStr">
        <is>
          <t>IOMP20260418014929</t>
        </is>
      </c>
      <c r="B34" s="19" t="inlineStr">
        <is>
          <t>B L saha</t>
        </is>
      </c>
      <c r="C34" s="19" t="inlineStr">
        <is>
          <t>Civil - RMC</t>
        </is>
      </c>
      <c r="D34" s="19" t="inlineStr"/>
      <c r="E34" s="20" t="n">
        <v>46130</v>
      </c>
      <c r="F34" s="21" t="n">
        <v>0.5616</v>
      </c>
      <c r="G34" s="21" t="n">
        <v>0.5288</v>
      </c>
      <c r="H34" s="19" t="n">
        <v>1</v>
      </c>
    </row>
    <row r="35">
      <c r="A35" s="19" t="inlineStr">
        <is>
          <t>IOMP20260519102816</t>
        </is>
      </c>
      <c r="B35" s="19" t="inlineStr">
        <is>
          <t>B L saha</t>
        </is>
      </c>
      <c r="C35" s="19" t="inlineStr">
        <is>
          <t>Civil - Aluminium Formwork</t>
        </is>
      </c>
      <c r="D35" s="19" t="inlineStr"/>
      <c r="E35" s="20" t="n">
        <v>46161</v>
      </c>
      <c r="F35" s="21" t="n">
        <v>2.79</v>
      </c>
      <c r="G35" s="21" t="n">
        <v>2.79</v>
      </c>
      <c r="H35" s="19" t="n">
        <v>1</v>
      </c>
    </row>
    <row r="36">
      <c r="A36" s="19" t="inlineStr">
        <is>
          <t>IOMP20260527112827</t>
        </is>
      </c>
      <c r="B36" s="19" t="inlineStr">
        <is>
          <t>B L saha</t>
        </is>
      </c>
      <c r="C36" s="19" t="inlineStr">
        <is>
          <t>Civil - Steel Rebar</t>
        </is>
      </c>
      <c r="D36" s="19" t="inlineStr"/>
      <c r="E36" s="20" t="n">
        <v>46169</v>
      </c>
      <c r="F36" s="21" t="n">
        <v>1.4652</v>
      </c>
      <c r="G36" s="21" t="n">
        <v>1.3517</v>
      </c>
      <c r="H36" s="19" t="n">
        <v>1</v>
      </c>
    </row>
    <row r="37">
      <c r="A37" s="19" t="inlineStr">
        <is>
          <t>IOMP20260622063809</t>
        </is>
      </c>
      <c r="B37" s="19" t="inlineStr">
        <is>
          <t>B L saha</t>
        </is>
      </c>
      <c r="C37" s="19" t="inlineStr">
        <is>
          <t>Miscellaneous / other works</t>
        </is>
      </c>
      <c r="D37" s="19" t="inlineStr"/>
      <c r="E37" s="20" t="n">
        <v>46195</v>
      </c>
      <c r="F37" s="21" t="n">
        <v>0.19</v>
      </c>
      <c r="G37" s="21" t="n">
        <v>0.1793</v>
      </c>
      <c r="H37" s="19" t="n">
        <v>1</v>
      </c>
    </row>
    <row r="38">
      <c r="A38" s="19" t="inlineStr">
        <is>
          <t>IOMP20260708124512</t>
        </is>
      </c>
      <c r="B38" s="19" t="inlineStr">
        <is>
          <t>B L saha</t>
        </is>
      </c>
      <c r="C38" s="19" t="inlineStr">
        <is>
          <t>Civil - RMC</t>
        </is>
      </c>
      <c r="D38" s="19" t="inlineStr"/>
      <c r="E38" s="20" t="n">
        <v>46211</v>
      </c>
      <c r="F38" s="21" t="n">
        <v>0.075</v>
      </c>
      <c r="G38" s="21" t="n">
        <v>0.0678</v>
      </c>
      <c r="H38" s="19" t="n">
        <v>1</v>
      </c>
    </row>
    <row r="39">
      <c r="A39" s="19" t="inlineStr">
        <is>
          <t>IOMP20260709012404</t>
        </is>
      </c>
      <c r="B39" s="19" t="inlineStr">
        <is>
          <t>B L saha</t>
        </is>
      </c>
      <c r="C39" s="19" t="inlineStr">
        <is>
          <t>Civil - Steel Rebar</t>
        </is>
      </c>
      <c r="D39" s="19" t="inlineStr"/>
      <c r="E39" s="20" t="n">
        <v>46212</v>
      </c>
      <c r="F39" s="21" t="n">
        <v>5.1827</v>
      </c>
      <c r="G39" s="21" t="n">
        <v>4.5027</v>
      </c>
      <c r="H39" s="19" t="n">
        <v>1</v>
      </c>
    </row>
    <row r="40">
      <c r="A40" s="19" t="inlineStr">
        <is>
          <t>IOMP20260805170244</t>
        </is>
      </c>
      <c r="B40" s="19" t="inlineStr">
        <is>
          <t>B L saha</t>
        </is>
      </c>
      <c r="C40" s="19" t="inlineStr">
        <is>
          <t>Finishing - Tiles</t>
        </is>
      </c>
      <c r="D40" s="19" t="inlineStr"/>
      <c r="E40" s="20" t="n">
        <v>46239</v>
      </c>
      <c r="F40" s="21" t="n">
        <v>0.74</v>
      </c>
      <c r="G40" s="21" t="n">
        <v>0.71</v>
      </c>
      <c r="H40" s="19" t="n">
        <v>1</v>
      </c>
    </row>
    <row r="41">
      <c r="A41" s="19" t="inlineStr">
        <is>
          <t>IOMP20260507054926</t>
        </is>
      </c>
      <c r="B41" s="19" t="inlineStr">
        <is>
          <t>Godrej Prakriti</t>
        </is>
      </c>
      <c r="C41" s="19" t="inlineStr">
        <is>
          <t>Miscellaneous / other works</t>
        </is>
      </c>
      <c r="D41" s="19" t="inlineStr"/>
      <c r="E41" s="20" t="n">
        <v>46149</v>
      </c>
      <c r="F41" s="21" t="n">
        <v>0.07630000000000001</v>
      </c>
      <c r="G41" s="21" t="n">
        <v>0.07630000000000001</v>
      </c>
      <c r="H41" s="19" t="n">
        <v>1</v>
      </c>
    </row>
    <row r="42">
      <c r="A42" s="19" t="inlineStr">
        <is>
          <t>IOMP20260604122703</t>
        </is>
      </c>
      <c r="B42" s="19" t="inlineStr">
        <is>
          <t>Godrej Prakriti</t>
        </is>
      </c>
      <c r="C42" s="19" t="inlineStr">
        <is>
          <t>Finishing - Tiles</t>
        </is>
      </c>
      <c r="D42" s="19" t="inlineStr"/>
      <c r="E42" s="20" t="n">
        <v>46177</v>
      </c>
      <c r="F42" s="21" t="n">
        <v>0.0312</v>
      </c>
      <c r="G42" s="21" t="n">
        <v>0.0305</v>
      </c>
      <c r="H42" s="19" t="n">
        <v>1</v>
      </c>
    </row>
    <row r="43">
      <c r="A43" s="19" t="inlineStr">
        <is>
          <t>IOMP20260716110856</t>
        </is>
      </c>
      <c r="B43" s="19" t="inlineStr">
        <is>
          <t>Godrej Prakriti</t>
        </is>
      </c>
      <c r="C43" s="19" t="inlineStr">
        <is>
          <t>Finishing - Stones/Marbles</t>
        </is>
      </c>
      <c r="D43" s="19" t="inlineStr"/>
      <c r="E43" s="20" t="n">
        <v>46219</v>
      </c>
      <c r="F43" s="21" t="n">
        <v>0.0126</v>
      </c>
      <c r="G43" s="21" t="n">
        <v>0.0126</v>
      </c>
      <c r="H43" s="19" t="n">
        <v>1</v>
      </c>
    </row>
    <row r="44">
      <c r="A44" s="19" t="inlineStr">
        <is>
          <t>IOMP20260721202833</t>
        </is>
      </c>
      <c r="B44" s="19" t="inlineStr">
        <is>
          <t>Godrej Prakriti</t>
        </is>
      </c>
      <c r="C44" s="19" t="inlineStr">
        <is>
          <t>Civil - Cement</t>
        </is>
      </c>
      <c r="D44" s="19" t="inlineStr"/>
      <c r="E44" s="20" t="n">
        <v>46224</v>
      </c>
      <c r="F44" s="21" t="n">
        <v>0.0114</v>
      </c>
      <c r="G44" s="21" t="n">
        <v>0.0114</v>
      </c>
      <c r="H44" s="19" t="n">
        <v>1</v>
      </c>
    </row>
    <row r="45">
      <c r="A45" s="19" t="inlineStr">
        <is>
          <t>IOMP20260820212754</t>
        </is>
      </c>
      <c r="B45" s="19" t="inlineStr">
        <is>
          <t>Godrej Prakriti</t>
        </is>
      </c>
      <c r="C45" s="19" t="inlineStr">
        <is>
          <t>Civil - Cement</t>
        </is>
      </c>
      <c r="D45" s="19" t="inlineStr"/>
      <c r="E45" s="20" t="n">
        <v>46254</v>
      </c>
      <c r="F45" s="21" t="n">
        <v>0.0123</v>
      </c>
      <c r="G45" s="21" t="n">
        <v>0.011</v>
      </c>
      <c r="H45" s="19" t="n">
        <v>1</v>
      </c>
    </row>
    <row r="46">
      <c r="A46" s="19" t="inlineStr">
        <is>
          <t>IOMP20260825160839</t>
        </is>
      </c>
      <c r="B46" s="19" t="inlineStr">
        <is>
          <t>Godrej Prakriti</t>
        </is>
      </c>
      <c r="C46" s="19" t="inlineStr">
        <is>
          <t>MEP - Plumbing and Fire fighting equipments and fittings</t>
        </is>
      </c>
      <c r="D46" s="19" t="inlineStr"/>
      <c r="E46" s="20" t="n">
        <v>46259</v>
      </c>
      <c r="F46" s="21" t="n">
        <v>0.0549</v>
      </c>
      <c r="G46" s="21" t="n">
        <v>0.0309</v>
      </c>
      <c r="H46" s="19" t="n">
        <v>1</v>
      </c>
    </row>
    <row r="47">
      <c r="A47" s="19" t="inlineStr">
        <is>
          <t>IOMP20260330114617</t>
        </is>
      </c>
      <c r="B47" s="19" t="inlineStr">
        <is>
          <t>Raipur Plotted 1</t>
        </is>
      </c>
      <c r="C47" s="19" t="inlineStr">
        <is>
          <t>Civil - RMC</t>
        </is>
      </c>
      <c r="D47" s="19" t="inlineStr"/>
      <c r="E47" s="20" t="n">
        <v>46111</v>
      </c>
      <c r="F47" s="21" t="n">
        <v>0.068</v>
      </c>
      <c r="G47" s="21" t="n">
        <v>0.034</v>
      </c>
      <c r="H47" s="19" t="n">
        <v>1</v>
      </c>
    </row>
    <row r="48">
      <c r="A48" s="19" t="inlineStr">
        <is>
          <t>IOMP20260411021131</t>
        </is>
      </c>
      <c r="B48" s="19" t="inlineStr">
        <is>
          <t>Raipur Plotted 1</t>
        </is>
      </c>
      <c r="C48" s="19" t="inlineStr">
        <is>
          <t>MEP - Plumbing and Fire fighting equipments and fittings</t>
        </is>
      </c>
      <c r="D48" s="19" t="inlineStr"/>
      <c r="E48" s="20" t="n">
        <v>46123</v>
      </c>
      <c r="F48" s="21" t="n">
        <v>1.4434</v>
      </c>
      <c r="G48" s="21" t="n">
        <v>0.7217</v>
      </c>
      <c r="H48" s="19" t="n">
        <v>1</v>
      </c>
    </row>
    <row r="49">
      <c r="A49" s="19" t="inlineStr">
        <is>
          <t>IOMP20260511020014</t>
        </is>
      </c>
      <c r="B49" s="19" t="inlineStr">
        <is>
          <t>Raipur Plotted 1</t>
        </is>
      </c>
      <c r="C49" s="19" t="inlineStr">
        <is>
          <t>MEP - Plumbing and Fire fighting equipments and fittings</t>
        </is>
      </c>
      <c r="D49" s="19" t="inlineStr"/>
      <c r="E49" s="20" t="n">
        <v>46153</v>
      </c>
      <c r="F49" s="21" t="n">
        <v>1.434</v>
      </c>
      <c r="G49" s="21" t="n">
        <v>0.717</v>
      </c>
      <c r="H49" s="19" t="n">
        <v>1</v>
      </c>
    </row>
    <row r="50">
      <c r="A50" s="19" t="inlineStr">
        <is>
          <t>IOMP20260526020724</t>
        </is>
      </c>
      <c r="B50" s="19" t="inlineStr">
        <is>
          <t>Raipur Plotted 1</t>
        </is>
      </c>
      <c r="C50" s="19" t="inlineStr">
        <is>
          <t>Civil - Steel Rebar</t>
        </is>
      </c>
      <c r="D50" s="19" t="inlineStr"/>
      <c r="E50" s="20" t="n">
        <v>46168</v>
      </c>
      <c r="F50" s="21" t="n">
        <v>0.902</v>
      </c>
      <c r="G50" s="21" t="n">
        <v>0.3855</v>
      </c>
      <c r="H50" s="19" t="n">
        <v>1</v>
      </c>
    </row>
    <row r="51">
      <c r="A51" s="19" t="inlineStr">
        <is>
          <t>IOMP20260827120211</t>
        </is>
      </c>
      <c r="B51" s="19" t="inlineStr">
        <is>
          <t>Raipur Plotted 1</t>
        </is>
      </c>
      <c r="C51" s="19" t="inlineStr">
        <is>
          <t>MEP - Plumbing and Fire fighting equipments and fittings</t>
        </is>
      </c>
      <c r="D51" s="19" t="inlineStr"/>
      <c r="E51" s="20" t="n">
        <v>46261</v>
      </c>
      <c r="F51" s="21" t="n">
        <v>1.07</v>
      </c>
      <c r="G51" s="21" t="n">
        <v>0.5198</v>
      </c>
      <c r="H51" s="19" t="n">
        <v>1</v>
      </c>
    </row>
    <row r="52">
      <c r="A52" s="19" t="inlineStr">
        <is>
          <t>IOMP20260515102526</t>
        </is>
      </c>
      <c r="B52" s="19" t="inlineStr">
        <is>
          <t>Godrej Ushti 1</t>
        </is>
      </c>
      <c r="C52" s="19" t="inlineStr">
        <is>
          <t>Civil - Steel Rebar</t>
        </is>
      </c>
      <c r="D52" s="19" t="inlineStr"/>
      <c r="E52" s="20" t="n">
        <v>46157</v>
      </c>
      <c r="F52" s="21" t="n">
        <v>0.198</v>
      </c>
      <c r="G52" s="21" t="n">
        <v>0.1859</v>
      </c>
      <c r="H52" s="19" t="n">
        <v>1</v>
      </c>
    </row>
    <row r="53">
      <c r="A53" s="19" t="inlineStr">
        <is>
          <t>IOMP20260515110913</t>
        </is>
      </c>
      <c r="B53" s="19" t="inlineStr">
        <is>
          <t>Godrej Ushti 1</t>
        </is>
      </c>
      <c r="C53" s="19" t="inlineStr">
        <is>
          <t>MEP - Plumbing and Fire fighting equipments and fittings</t>
        </is>
      </c>
      <c r="D53" s="19" t="inlineStr"/>
      <c r="E53" s="20" t="n">
        <v>46157</v>
      </c>
      <c r="F53" s="21" t="n">
        <v>0.0245</v>
      </c>
      <c r="G53" s="21" t="n">
        <v>0.0217</v>
      </c>
      <c r="H53" s="19" t="n">
        <v>1</v>
      </c>
    </row>
    <row r="54">
      <c r="A54" s="19" t="inlineStr">
        <is>
          <t>IOMP20260519063945</t>
        </is>
      </c>
      <c r="B54" s="19" t="inlineStr">
        <is>
          <t>Godrej Ushti 1</t>
        </is>
      </c>
      <c r="C54" s="19" t="inlineStr">
        <is>
          <t>Civil - RMC</t>
        </is>
      </c>
      <c r="D54" s="19" t="inlineStr"/>
      <c r="E54" s="20" t="n">
        <v>46161</v>
      </c>
      <c r="F54" s="21" t="n">
        <v>0.54616</v>
      </c>
      <c r="G54" s="21" t="n">
        <v>0.54616</v>
      </c>
      <c r="H54" s="19" t="n">
        <v>1</v>
      </c>
    </row>
    <row r="55">
      <c r="A55" s="19" t="inlineStr">
        <is>
          <t>IOMP20260521070356</t>
        </is>
      </c>
      <c r="B55" s="19" t="inlineStr">
        <is>
          <t>Godrej Ushti 1</t>
        </is>
      </c>
      <c r="C55" s="19" t="inlineStr">
        <is>
          <t>Infrastructure - General</t>
        </is>
      </c>
      <c r="D55" s="19" t="inlineStr"/>
      <c r="E55" s="20" t="n">
        <v>46163</v>
      </c>
      <c r="F55" s="21" t="n">
        <v>0.3113</v>
      </c>
      <c r="G55" s="21" t="n">
        <v>0.275</v>
      </c>
      <c r="H55" s="19" t="n">
        <v>1</v>
      </c>
    </row>
    <row r="56">
      <c r="A56" s="19" t="inlineStr">
        <is>
          <t>IOMP20260525011828</t>
        </is>
      </c>
      <c r="B56" s="19" t="inlineStr">
        <is>
          <t>Godrej Ushti 1</t>
        </is>
      </c>
      <c r="C56" s="19" t="inlineStr">
        <is>
          <t>Infrastructure - General</t>
        </is>
      </c>
      <c r="D56" s="19" t="inlineStr"/>
      <c r="E56" s="20" t="n">
        <v>46167</v>
      </c>
      <c r="F56" s="21" t="n">
        <v>0.5391</v>
      </c>
      <c r="G56" s="21" t="n">
        <v>0.4973</v>
      </c>
      <c r="H56" s="19" t="n">
        <v>1</v>
      </c>
    </row>
    <row r="57">
      <c r="A57" s="19" t="inlineStr">
        <is>
          <t>IOMP20260616040959</t>
        </is>
      </c>
      <c r="B57" s="19" t="inlineStr">
        <is>
          <t>Godrej Ushti 1</t>
        </is>
      </c>
      <c r="C57" s="19" t="inlineStr">
        <is>
          <t>Civil - Steel Rebar</t>
        </is>
      </c>
      <c r="D57" s="19" t="inlineStr"/>
      <c r="E57" s="20" t="n">
        <v>46189</v>
      </c>
      <c r="F57" s="21" t="n">
        <v>0.396</v>
      </c>
      <c r="G57" s="21" t="n">
        <v>0.3509</v>
      </c>
      <c r="H57" s="19" t="n">
        <v>1</v>
      </c>
    </row>
    <row r="58">
      <c r="A58" s="19" t="inlineStr">
        <is>
          <t>IOMP20260629101300</t>
        </is>
      </c>
      <c r="B58" s="19" t="inlineStr">
        <is>
          <t>Godrej Ushti 1</t>
        </is>
      </c>
      <c r="C58" s="19" t="inlineStr">
        <is>
          <t>Miscellaneous / other works</t>
        </is>
      </c>
      <c r="D58" s="19" t="inlineStr"/>
      <c r="E58" s="20" t="n">
        <v>46202</v>
      </c>
      <c r="F58" s="21" t="n">
        <v>0.0067</v>
      </c>
      <c r="G58" s="21" t="n">
        <v>0.006</v>
      </c>
      <c r="H58" s="19" t="n">
        <v>1</v>
      </c>
    </row>
    <row r="59">
      <c r="A59" s="19" t="inlineStr">
        <is>
          <t>IOMP20260702081120</t>
        </is>
      </c>
      <c r="B59" s="19" t="inlineStr">
        <is>
          <t>Godrej Ushti 1</t>
        </is>
      </c>
      <c r="C59" s="19" t="inlineStr">
        <is>
          <t>Miscellaneous / other works</t>
        </is>
      </c>
      <c r="D59" s="19" t="inlineStr"/>
      <c r="E59" s="20" t="n">
        <v>46205</v>
      </c>
      <c r="F59" s="21" t="n">
        <v>0.1104</v>
      </c>
      <c r="G59" s="21" t="n">
        <v>0.1045</v>
      </c>
      <c r="H59" s="19" t="n">
        <v>1</v>
      </c>
    </row>
    <row r="60">
      <c r="A60" s="19" t="inlineStr">
        <is>
          <t>IOMP20260808121155</t>
        </is>
      </c>
      <c r="B60" s="19" t="inlineStr">
        <is>
          <t>Godrej Ushti 1</t>
        </is>
      </c>
      <c r="C60" s="19" t="inlineStr">
        <is>
          <t>Civil - RMC</t>
        </is>
      </c>
      <c r="D60" s="19" t="inlineStr"/>
      <c r="E60" s="20" t="n">
        <v>46242</v>
      </c>
      <c r="F60" s="21" t="n">
        <v>0.0451</v>
      </c>
      <c r="G60" s="21" t="n">
        <v>0.0449</v>
      </c>
      <c r="H60" s="19" t="n">
        <v>1</v>
      </c>
    </row>
  </sheetData>
  <autoFilter ref="A1:H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19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22" customWidth="1" min="10" max="10"/>
  </cols>
  <sheetData>
    <row r="1" ht="32" customHeight="1">
      <c r="A1" s="18" t="inlineStr">
        <is>
          <t>Project</t>
        </is>
      </c>
      <c r="B1" s="18" t="inlineStr">
        <is>
          <t>Contract Award Package</t>
        </is>
      </c>
      <c r="C1" s="18" t="inlineStr">
        <is>
          <t>Revised Plan Date</t>
        </is>
      </c>
      <c r="D1" s="18" t="inlineStr">
        <is>
          <t>Actual/CBE Award Date</t>
        </is>
      </c>
      <c r="E1" s="18" t="inlineStr">
        <is>
          <t>Schedule Date</t>
        </is>
      </c>
      <c r="F1" s="18" t="inlineStr">
        <is>
          <t>PTE Value (₹ Cr)</t>
        </is>
      </c>
      <c r="G1" s="18" t="inlineStr">
        <is>
          <t>BOQ Status</t>
        </is>
      </c>
      <c r="H1" s="18" t="inlineStr">
        <is>
          <t>Drawing Status</t>
        </is>
      </c>
      <c r="I1" s="18" t="inlineStr">
        <is>
          <t>Currently With</t>
        </is>
      </c>
      <c r="J1" s="18" t="inlineStr">
        <is>
          <t>Dependency</t>
        </is>
      </c>
    </row>
    <row r="2">
      <c r="A2" s="19" t="inlineStr">
        <is>
          <t>Godrej Blue</t>
        </is>
      </c>
      <c r="B2" s="19" t="inlineStr">
        <is>
          <t>Windows</t>
        </is>
      </c>
      <c r="C2" s="20" t="n">
        <v>46256</v>
      </c>
      <c r="D2" s="20" t="n">
        <v>46276</v>
      </c>
      <c r="E2" s="20" t="n">
        <v>46276</v>
      </c>
      <c r="F2" s="21" t="n"/>
      <c r="G2" s="19" t="inlineStr">
        <is>
          <t>Provided</t>
        </is>
      </c>
      <c r="H2" s="19" t="inlineStr">
        <is>
          <t>Provided</t>
        </is>
      </c>
      <c r="I2" s="19" t="inlineStr">
        <is>
          <t>C&amp;P</t>
        </is>
      </c>
      <c r="J2" s="19" t="inlineStr"/>
    </row>
    <row r="3">
      <c r="A3" s="19" t="inlineStr">
        <is>
          <t>Godrej Blue</t>
        </is>
      </c>
      <c r="B3" s="19" t="inlineStr">
        <is>
          <t>Glass Railing</t>
        </is>
      </c>
      <c r="C3" s="20" t="n">
        <v>46295</v>
      </c>
      <c r="D3" s="20" t="n">
        <v>46295</v>
      </c>
      <c r="E3" s="20" t="n">
        <v>46295</v>
      </c>
      <c r="F3" s="21" t="n"/>
      <c r="G3" s="19" t="inlineStr">
        <is>
          <t>Provided</t>
        </is>
      </c>
      <c r="H3" s="19" t="inlineStr">
        <is>
          <t>Provided</t>
        </is>
      </c>
      <c r="I3" s="19" t="inlineStr">
        <is>
          <t>C&amp;P</t>
        </is>
      </c>
      <c r="J3" s="19" t="inlineStr"/>
    </row>
    <row r="4">
      <c r="A4" s="19" t="inlineStr">
        <is>
          <t>Godrej Blue</t>
        </is>
      </c>
      <c r="B4" s="19" t="inlineStr">
        <is>
          <t>Sub station -Core &amp;Shell</t>
        </is>
      </c>
      <c r="C4" s="20" t="n">
        <v>46272</v>
      </c>
      <c r="D4" s="20" t="n">
        <v>46272</v>
      </c>
      <c r="E4" s="20" t="n">
        <v>46272</v>
      </c>
      <c r="F4" s="21" t="n">
        <v>1.34</v>
      </c>
      <c r="G4" s="19" t="inlineStr">
        <is>
          <t>Provided</t>
        </is>
      </c>
      <c r="H4" s="19" t="inlineStr">
        <is>
          <t>Provided</t>
        </is>
      </c>
      <c r="I4" s="19" t="inlineStr">
        <is>
          <t>C&amp;P</t>
        </is>
      </c>
      <c r="J4" s="19" t="inlineStr"/>
    </row>
    <row r="5">
      <c r="A5" s="19" t="inlineStr">
        <is>
          <t>Godrej Blue</t>
        </is>
      </c>
      <c r="B5" s="19" t="inlineStr">
        <is>
          <t>CP Fittings and Sanitary Fixtures including Kitchen sink</t>
        </is>
      </c>
      <c r="C5" s="20" t="n">
        <v>46275</v>
      </c>
      <c r="D5" s="20" t="n">
        <v>46276</v>
      </c>
      <c r="E5" s="20" t="n">
        <v>46276</v>
      </c>
      <c r="F5" s="21" t="n">
        <v>6.28</v>
      </c>
      <c r="G5" s="19" t="inlineStr">
        <is>
          <t>Provided</t>
        </is>
      </c>
      <c r="H5" s="19" t="inlineStr">
        <is>
          <t>Provided</t>
        </is>
      </c>
      <c r="I5" s="19" t="inlineStr">
        <is>
          <t>C&amp;P</t>
        </is>
      </c>
      <c r="J5" s="19" t="inlineStr"/>
    </row>
    <row r="6">
      <c r="A6" s="19" t="inlineStr">
        <is>
          <t>Godrej Blue</t>
        </is>
      </c>
      <c r="B6" s="19" t="inlineStr">
        <is>
          <t>External Painting</t>
        </is>
      </c>
      <c r="C6" s="20" t="n">
        <v>46276</v>
      </c>
      <c r="D6" s="20" t="n">
        <v>46286</v>
      </c>
      <c r="E6" s="20" t="n">
        <v>46286</v>
      </c>
      <c r="F6" s="21" t="n">
        <v>4.5</v>
      </c>
      <c r="G6" s="19" t="inlineStr">
        <is>
          <t>Provided</t>
        </is>
      </c>
      <c r="H6" s="19" t="inlineStr">
        <is>
          <t>Not provided</t>
        </is>
      </c>
      <c r="I6" s="19" t="inlineStr">
        <is>
          <t>Design</t>
        </is>
      </c>
      <c r="J6" s="19" t="inlineStr">
        <is>
          <t>Design - Drawing</t>
        </is>
      </c>
    </row>
    <row r="7">
      <c r="A7" s="19" t="inlineStr">
        <is>
          <t>Godrej Blue</t>
        </is>
      </c>
      <c r="B7" s="19" t="inlineStr">
        <is>
          <t>Fire Door</t>
        </is>
      </c>
      <c r="C7" s="20" t="n">
        <v>46280</v>
      </c>
      <c r="D7" s="20" t="n">
        <v>46280</v>
      </c>
      <c r="E7" s="20" t="n">
        <v>46280</v>
      </c>
      <c r="F7" s="21" t="n">
        <v>1.67</v>
      </c>
      <c r="G7" s="19" t="inlineStr">
        <is>
          <t>Provided</t>
        </is>
      </c>
      <c r="H7" s="19" t="inlineStr">
        <is>
          <t>Provided</t>
        </is>
      </c>
      <c r="I7" s="19" t="inlineStr">
        <is>
          <t>C&amp;P</t>
        </is>
      </c>
      <c r="J7" s="19" t="inlineStr"/>
    </row>
    <row r="8">
      <c r="A8" s="19" t="inlineStr">
        <is>
          <t>Godrej Blue</t>
        </is>
      </c>
      <c r="B8" s="19" t="inlineStr">
        <is>
          <t>Internal Electrical</t>
        </is>
      </c>
      <c r="C8" s="20" t="n">
        <v>46276</v>
      </c>
      <c r="D8" s="20" t="n">
        <v>46276</v>
      </c>
      <c r="E8" s="20" t="n">
        <v>46276</v>
      </c>
      <c r="F8" s="21" t="n">
        <v>0.107</v>
      </c>
      <c r="G8" s="19" t="inlineStr">
        <is>
          <t>Provided</t>
        </is>
      </c>
      <c r="H8" s="19" t="inlineStr">
        <is>
          <t>Provided</t>
        </is>
      </c>
      <c r="I8" s="19" t="inlineStr">
        <is>
          <t>C&amp;P</t>
        </is>
      </c>
      <c r="J8" s="19" t="inlineStr"/>
    </row>
    <row r="9">
      <c r="A9" s="19" t="inlineStr">
        <is>
          <t>Godrej Blue</t>
        </is>
      </c>
      <c r="B9" s="19" t="inlineStr">
        <is>
          <t>Light Fittings</t>
        </is>
      </c>
      <c r="C9" s="20" t="n">
        <v>46355</v>
      </c>
      <c r="D9" s="20" t="n">
        <v>46310</v>
      </c>
      <c r="E9" s="20" t="n">
        <v>46310</v>
      </c>
      <c r="F9" s="21" t="n">
        <v>5</v>
      </c>
      <c r="G9" s="19" t="inlineStr">
        <is>
          <t>Not provided</t>
        </is>
      </c>
      <c r="H9" s="19" t="inlineStr">
        <is>
          <t>Provided</t>
        </is>
      </c>
      <c r="I9" s="19" t="inlineStr">
        <is>
          <t>C&amp;B</t>
        </is>
      </c>
      <c r="J9" s="19" t="inlineStr">
        <is>
          <t>C&amp;B - BOQ</t>
        </is>
      </c>
    </row>
    <row r="10">
      <c r="A10" s="19" t="inlineStr">
        <is>
          <t>Godrej Blue</t>
        </is>
      </c>
      <c r="B10" s="19" t="inlineStr">
        <is>
          <t>Louvers for Tower Area</t>
        </is>
      </c>
      <c r="C10" s="20" t="n">
        <v>46296</v>
      </c>
      <c r="D10" s="20" t="n">
        <v>46296</v>
      </c>
      <c r="E10" s="20" t="n">
        <v>46296</v>
      </c>
      <c r="F10" s="21" t="n">
        <v>0.4</v>
      </c>
      <c r="G10" s="19" t="inlineStr">
        <is>
          <t>Not provided</t>
        </is>
      </c>
      <c r="H10" s="19" t="inlineStr">
        <is>
          <t>Provided</t>
        </is>
      </c>
      <c r="I10" s="19" t="inlineStr">
        <is>
          <t>C&amp;B</t>
        </is>
      </c>
      <c r="J10" s="19" t="inlineStr">
        <is>
          <t>C&amp;B - BOQ</t>
        </is>
      </c>
    </row>
    <row r="11">
      <c r="A11" s="19" t="inlineStr">
        <is>
          <t>Godrej Blue</t>
        </is>
      </c>
      <c r="B11" s="19" t="inlineStr">
        <is>
          <t>Solar</t>
        </is>
      </c>
      <c r="C11" s="20" t="n">
        <v>46369</v>
      </c>
      <c r="D11" s="20" t="n">
        <v>46369</v>
      </c>
      <c r="E11" s="20" t="n">
        <v>46369</v>
      </c>
      <c r="F11" s="21" t="n">
        <v>1.7</v>
      </c>
      <c r="G11" s="19" t="inlineStr">
        <is>
          <t>Provided</t>
        </is>
      </c>
      <c r="H11" s="19" t="inlineStr">
        <is>
          <t>Provided</t>
        </is>
      </c>
      <c r="I11" s="19" t="inlineStr">
        <is>
          <t>C&amp;P</t>
        </is>
      </c>
      <c r="J11" s="19" t="inlineStr"/>
    </row>
    <row r="12">
      <c r="A12" s="19" t="inlineStr">
        <is>
          <t>Godrej Blue</t>
        </is>
      </c>
      <c r="B12" s="19" t="inlineStr">
        <is>
          <t>DG</t>
        </is>
      </c>
      <c r="C12" s="20" t="n">
        <v>46338</v>
      </c>
      <c r="D12" s="20" t="n">
        <v>46338</v>
      </c>
      <c r="E12" s="20" t="n">
        <v>46338</v>
      </c>
      <c r="F12" s="21" t="n"/>
      <c r="G12" s="19" t="inlineStr">
        <is>
          <t>Provided</t>
        </is>
      </c>
      <c r="H12" s="19" t="inlineStr">
        <is>
          <t>Provided</t>
        </is>
      </c>
      <c r="I12" s="19" t="inlineStr">
        <is>
          <t>C&amp;P</t>
        </is>
      </c>
      <c r="J12" s="19" t="inlineStr"/>
    </row>
    <row r="13">
      <c r="A13" s="19" t="inlineStr">
        <is>
          <t>Godrej Blue</t>
        </is>
      </c>
      <c r="B13" s="19" t="inlineStr">
        <is>
          <t>Play Amenities( Cricket ground, Basket Ball ground, jogging etc.)</t>
        </is>
      </c>
      <c r="C13" s="20" t="n">
        <v>46510</v>
      </c>
      <c r="D13" s="20" t="n">
        <v>46510</v>
      </c>
      <c r="E13" s="20" t="n">
        <v>46510</v>
      </c>
      <c r="F13" s="21" t="n">
        <v>0.65</v>
      </c>
      <c r="G13" s="19" t="inlineStr">
        <is>
          <t>Not provided</t>
        </is>
      </c>
      <c r="H13" s="19" t="inlineStr">
        <is>
          <t>Provided</t>
        </is>
      </c>
      <c r="I13" s="19" t="inlineStr">
        <is>
          <t>C&amp;B</t>
        </is>
      </c>
      <c r="J13" s="19" t="inlineStr">
        <is>
          <t>C&amp;B - BOQ</t>
        </is>
      </c>
    </row>
    <row r="14">
      <c r="A14" s="19" t="inlineStr">
        <is>
          <t>Godrej Blue</t>
        </is>
      </c>
      <c r="B14" s="19" t="inlineStr">
        <is>
          <t>Internal Electrical - Panels</t>
        </is>
      </c>
      <c r="C14" s="20" t="n">
        <v>46307</v>
      </c>
      <c r="D14" s="20" t="n"/>
      <c r="E14" s="20" t="n">
        <v>46307</v>
      </c>
      <c r="F14" s="21" t="n"/>
      <c r="G14" s="19" t="inlineStr">
        <is>
          <t>Provided</t>
        </is>
      </c>
      <c r="H14" s="19" t="inlineStr">
        <is>
          <t>Provided</t>
        </is>
      </c>
      <c r="I14" s="19" t="inlineStr">
        <is>
          <t>C&amp;P</t>
        </is>
      </c>
      <c r="J14" s="19" t="inlineStr"/>
    </row>
    <row r="15">
      <c r="A15" s="19" t="inlineStr">
        <is>
          <t>Godrej Blue</t>
        </is>
      </c>
      <c r="B15" s="19" t="inlineStr">
        <is>
          <t>Fire Fighting - Pumps</t>
        </is>
      </c>
      <c r="C15" s="20" t="n">
        <v>46352</v>
      </c>
      <c r="D15" s="20" t="n">
        <v>46352</v>
      </c>
      <c r="E15" s="20" t="n">
        <v>46352</v>
      </c>
      <c r="F15" s="21" t="n">
        <v>0.25</v>
      </c>
      <c r="G15" s="19" t="inlineStr">
        <is>
          <t>Provided</t>
        </is>
      </c>
      <c r="H15" s="19" t="inlineStr">
        <is>
          <t>Provided</t>
        </is>
      </c>
      <c r="I15" s="19" t="inlineStr">
        <is>
          <t>C&amp;P</t>
        </is>
      </c>
      <c r="J15" s="19" t="inlineStr"/>
    </row>
    <row r="16">
      <c r="A16" s="19" t="inlineStr">
        <is>
          <t>Godrej Blue</t>
        </is>
      </c>
      <c r="B16" s="19" t="inlineStr">
        <is>
          <t>Fire Fighting - Panels</t>
        </is>
      </c>
      <c r="C16" s="20" t="n">
        <v>46352</v>
      </c>
      <c r="D16" s="20" t="n">
        <v>46352</v>
      </c>
      <c r="E16" s="20" t="n">
        <v>46352</v>
      </c>
      <c r="F16" s="21" t="n">
        <v>0.067</v>
      </c>
      <c r="G16" s="19" t="inlineStr">
        <is>
          <t>Provided</t>
        </is>
      </c>
      <c r="H16" s="19" t="inlineStr">
        <is>
          <t>Provided</t>
        </is>
      </c>
      <c r="I16" s="19" t="inlineStr">
        <is>
          <t>C&amp;P</t>
        </is>
      </c>
      <c r="J16" s="19" t="inlineStr"/>
    </row>
    <row r="17">
      <c r="A17" s="19" t="inlineStr">
        <is>
          <t>Godrej Blue</t>
        </is>
      </c>
      <c r="B17" s="19" t="inlineStr">
        <is>
          <t>Expansion Joint</t>
        </is>
      </c>
      <c r="C17" s="20" t="n">
        <v>46292</v>
      </c>
      <c r="D17" s="20" t="n">
        <v>46285</v>
      </c>
      <c r="E17" s="20" t="n">
        <v>46285</v>
      </c>
      <c r="F17" s="21" t="n">
        <v>0.46</v>
      </c>
      <c r="G17" s="19" t="inlineStr">
        <is>
          <t>Provided</t>
        </is>
      </c>
      <c r="H17" s="19" t="inlineStr">
        <is>
          <t>Provided</t>
        </is>
      </c>
      <c r="I17" s="19" t="inlineStr">
        <is>
          <t>C&amp;P</t>
        </is>
      </c>
      <c r="J17" s="19" t="inlineStr"/>
    </row>
    <row r="18">
      <c r="A18" s="19" t="inlineStr">
        <is>
          <t>Godrej Blue</t>
        </is>
      </c>
      <c r="B18" s="19" t="inlineStr">
        <is>
          <t>External Plumbing - Pumps &amp; Panels</t>
        </is>
      </c>
      <c r="C18" s="20" t="n">
        <v>46367</v>
      </c>
      <c r="D18" s="20" t="n">
        <v>46367</v>
      </c>
      <c r="E18" s="20" t="n">
        <v>46367</v>
      </c>
      <c r="F18" s="21" t="n">
        <v>0.7</v>
      </c>
      <c r="G18" s="19" t="inlineStr">
        <is>
          <t>Provided</t>
        </is>
      </c>
      <c r="H18" s="19" t="inlineStr">
        <is>
          <t>Provided</t>
        </is>
      </c>
      <c r="I18" s="19" t="inlineStr">
        <is>
          <t>C&amp;P</t>
        </is>
      </c>
      <c r="J18" s="19" t="inlineStr"/>
    </row>
    <row r="19">
      <c r="A19" s="19" t="inlineStr">
        <is>
          <t>Godrej Blue</t>
        </is>
      </c>
      <c r="B19" s="19" t="inlineStr">
        <is>
          <t>External Electrical - Panels</t>
        </is>
      </c>
      <c r="C19" s="20" t="n">
        <v>46367</v>
      </c>
      <c r="D19" s="20" t="n">
        <v>46367</v>
      </c>
      <c r="E19" s="20" t="n">
        <v>46367</v>
      </c>
      <c r="F19" s="21" t="n"/>
      <c r="G19" s="19" t="inlineStr">
        <is>
          <t>Provided</t>
        </is>
      </c>
      <c r="H19" s="19" t="inlineStr">
        <is>
          <t>Provided</t>
        </is>
      </c>
      <c r="I19" s="19" t="inlineStr">
        <is>
          <t>C&amp;P</t>
        </is>
      </c>
      <c r="J19" s="19" t="inlineStr"/>
    </row>
    <row r="20">
      <c r="A20" s="19" t="inlineStr">
        <is>
          <t>Godrej Blue</t>
        </is>
      </c>
      <c r="B20" s="19" t="inlineStr">
        <is>
          <t>Hardscape</t>
        </is>
      </c>
      <c r="C20" s="20" t="n">
        <v>46299</v>
      </c>
      <c r="D20" s="20" t="n">
        <v>46299</v>
      </c>
      <c r="E20" s="20" t="n">
        <v>46299</v>
      </c>
      <c r="F20" s="21" t="n">
        <v>2.14</v>
      </c>
      <c r="G20" s="19" t="inlineStr">
        <is>
          <t>Not provided</t>
        </is>
      </c>
      <c r="H20" s="19" t="inlineStr">
        <is>
          <t>Provided</t>
        </is>
      </c>
      <c r="I20" s="19" t="inlineStr">
        <is>
          <t>C&amp;B</t>
        </is>
      </c>
      <c r="J20" s="19" t="inlineStr">
        <is>
          <t>C&amp;B - BOQ</t>
        </is>
      </c>
    </row>
    <row r="21">
      <c r="A21" s="19" t="inlineStr">
        <is>
          <t>Godrej Blue</t>
        </is>
      </c>
      <c r="B21" s="19" t="inlineStr">
        <is>
          <t>Softscape-shurbs</t>
        </is>
      </c>
      <c r="C21" s="20" t="n">
        <v>46299</v>
      </c>
      <c r="D21" s="20" t="n">
        <v>46299</v>
      </c>
      <c r="E21" s="20" t="n">
        <v>46299</v>
      </c>
      <c r="F21" s="21" t="n">
        <v>2.5</v>
      </c>
      <c r="G21" s="19" t="inlineStr">
        <is>
          <t>Not provided</t>
        </is>
      </c>
      <c r="H21" s="19" t="inlineStr">
        <is>
          <t>Provided</t>
        </is>
      </c>
      <c r="I21" s="19" t="inlineStr">
        <is>
          <t>C&amp;B</t>
        </is>
      </c>
      <c r="J21" s="19" t="inlineStr">
        <is>
          <t>C&amp;B - BOQ</t>
        </is>
      </c>
    </row>
    <row r="22">
      <c r="A22" s="19" t="inlineStr">
        <is>
          <t>Godrej Blue</t>
        </is>
      </c>
      <c r="B22" s="19" t="inlineStr">
        <is>
          <t>Plantation</t>
        </is>
      </c>
      <c r="C22" s="20" t="n">
        <v>46288</v>
      </c>
      <c r="D22" s="20" t="n">
        <v>46288</v>
      </c>
      <c r="E22" s="20" t="n">
        <v>46288</v>
      </c>
      <c r="F22" s="21" t="n">
        <v>1.8</v>
      </c>
      <c r="G22" s="19" t="inlineStr">
        <is>
          <t>Provided</t>
        </is>
      </c>
      <c r="H22" s="19" t="inlineStr">
        <is>
          <t>Provided</t>
        </is>
      </c>
      <c r="I22" s="19" t="inlineStr">
        <is>
          <t>C&amp;P</t>
        </is>
      </c>
      <c r="J22" s="19" t="inlineStr"/>
    </row>
    <row r="23">
      <c r="A23" s="19" t="inlineStr">
        <is>
          <t>Godrej Blue</t>
        </is>
      </c>
      <c r="B23" s="19" t="inlineStr">
        <is>
          <t>Road</t>
        </is>
      </c>
      <c r="C23" s="20" t="n">
        <v>46308</v>
      </c>
      <c r="D23" s="20" t="n">
        <v>46308</v>
      </c>
      <c r="E23" s="20" t="n">
        <v>46308</v>
      </c>
      <c r="F23" s="21" t="n">
        <v>0.35</v>
      </c>
      <c r="G23" s="19" t="inlineStr">
        <is>
          <t>Not provided</t>
        </is>
      </c>
      <c r="H23" s="19" t="inlineStr">
        <is>
          <t>Provided</t>
        </is>
      </c>
      <c r="I23" s="19" t="inlineStr">
        <is>
          <t>C&amp;B</t>
        </is>
      </c>
      <c r="J23" s="19" t="inlineStr">
        <is>
          <t>C&amp;B - BOQ</t>
        </is>
      </c>
    </row>
    <row r="24">
      <c r="A24" s="19" t="inlineStr">
        <is>
          <t>Godrej Blue</t>
        </is>
      </c>
      <c r="B24" s="19" t="inlineStr">
        <is>
          <t>FAPA, CCTV</t>
        </is>
      </c>
      <c r="C24" s="20" t="n">
        <v>46308</v>
      </c>
      <c r="D24" s="20" t="n">
        <v>46308</v>
      </c>
      <c r="E24" s="20" t="n">
        <v>46308</v>
      </c>
      <c r="F24" s="21" t="n">
        <v>3.25</v>
      </c>
      <c r="G24" s="19" t="inlineStr">
        <is>
          <t>Provided</t>
        </is>
      </c>
      <c r="H24" s="19" t="inlineStr">
        <is>
          <t>Provided</t>
        </is>
      </c>
      <c r="I24" s="19" t="inlineStr">
        <is>
          <t>C&amp;P</t>
        </is>
      </c>
      <c r="J24" s="19" t="inlineStr"/>
    </row>
    <row r="25">
      <c r="A25" s="19" t="inlineStr">
        <is>
          <t>Godrej Blue</t>
        </is>
      </c>
      <c r="B25" s="19" t="inlineStr">
        <is>
          <t>Security, Boom Barriers</t>
        </is>
      </c>
      <c r="C25" s="20" t="n">
        <v>46308</v>
      </c>
      <c r="D25" s="20" t="n">
        <v>46308</v>
      </c>
      <c r="E25" s="20" t="n">
        <v>46308</v>
      </c>
      <c r="F25" s="21" t="n">
        <v>0.75</v>
      </c>
      <c r="G25" s="19" t="inlineStr">
        <is>
          <t>Not provided</t>
        </is>
      </c>
      <c r="H25" s="19" t="inlineStr">
        <is>
          <t>Provided</t>
        </is>
      </c>
      <c r="I25" s="19" t="inlineStr">
        <is>
          <t>C&amp;B</t>
        </is>
      </c>
      <c r="J25" s="19" t="inlineStr">
        <is>
          <t>C&amp;B - BOQ</t>
        </is>
      </c>
    </row>
    <row r="26">
      <c r="A26" s="19" t="inlineStr">
        <is>
          <t>Godrej Blue</t>
        </is>
      </c>
      <c r="B26" s="19" t="inlineStr">
        <is>
          <t>External Illumination</t>
        </is>
      </c>
      <c r="C26" s="20" t="n">
        <v>46308</v>
      </c>
      <c r="D26" s="20" t="n">
        <v>46308</v>
      </c>
      <c r="E26" s="20" t="n">
        <v>46308</v>
      </c>
      <c r="F26" s="21" t="n">
        <v>0.85</v>
      </c>
      <c r="G26" s="19" t="inlineStr">
        <is>
          <t>Not provided</t>
        </is>
      </c>
      <c r="H26" s="19" t="inlineStr">
        <is>
          <t>Not provided</t>
        </is>
      </c>
      <c r="I26" s="19" t="inlineStr">
        <is>
          <t>Design</t>
        </is>
      </c>
      <c r="J26" s="19" t="inlineStr">
        <is>
          <t>Design - BOQ</t>
        </is>
      </c>
    </row>
    <row r="27">
      <c r="A27" s="19" t="inlineStr">
        <is>
          <t>Godrej Blue</t>
        </is>
      </c>
      <c r="B27" s="19" t="inlineStr">
        <is>
          <t>Club House Core &amp; Shell</t>
        </is>
      </c>
      <c r="C27" s="20" t="n">
        <v>46357</v>
      </c>
      <c r="D27" s="20" t="n">
        <v>46357</v>
      </c>
      <c r="E27" s="20" t="n">
        <v>46357</v>
      </c>
      <c r="F27" s="21" t="n">
        <v>3.07</v>
      </c>
      <c r="G27" s="19" t="inlineStr">
        <is>
          <t>Provided</t>
        </is>
      </c>
      <c r="H27" s="19" t="inlineStr">
        <is>
          <t>Provided</t>
        </is>
      </c>
      <c r="I27" s="19" t="inlineStr">
        <is>
          <t>C&amp;P</t>
        </is>
      </c>
      <c r="J27" s="19" t="inlineStr"/>
    </row>
    <row r="28">
      <c r="A28" s="19" t="inlineStr">
        <is>
          <t>Godrej Blue</t>
        </is>
      </c>
      <c r="B28" s="19" t="inlineStr">
        <is>
          <t>Louver for Non Tower</t>
        </is>
      </c>
      <c r="C28" s="20" t="n">
        <v>46419</v>
      </c>
      <c r="D28" s="20" t="n">
        <v>46419</v>
      </c>
      <c r="E28" s="20" t="n">
        <v>46419</v>
      </c>
      <c r="F28" s="21" t="n">
        <v>1.5</v>
      </c>
      <c r="G28" s="19" t="inlineStr">
        <is>
          <t>Not provided</t>
        </is>
      </c>
      <c r="H28" s="19" t="inlineStr">
        <is>
          <t>Not provided</t>
        </is>
      </c>
      <c r="I28" s="19" t="inlineStr">
        <is>
          <t>Design</t>
        </is>
      </c>
      <c r="J28" s="19" t="inlineStr">
        <is>
          <t>Design - BOQ</t>
        </is>
      </c>
    </row>
    <row r="29">
      <c r="A29" s="19" t="inlineStr">
        <is>
          <t>Godrej Blue</t>
        </is>
      </c>
      <c r="B29" s="19" t="inlineStr">
        <is>
          <t>Timber Structure work for Tree House, Board Walk &amp; Viewing Platform</t>
        </is>
      </c>
      <c r="C29" s="20" t="n">
        <v>46463</v>
      </c>
      <c r="D29" s="20" t="n">
        <v>46463</v>
      </c>
      <c r="E29" s="20" t="n">
        <v>46463</v>
      </c>
      <c r="F29" s="21" t="n">
        <v>1.5</v>
      </c>
      <c r="G29" s="19" t="inlineStr">
        <is>
          <t>Not provided</t>
        </is>
      </c>
      <c r="H29" s="19" t="inlineStr">
        <is>
          <t>Not provided</t>
        </is>
      </c>
      <c r="I29" s="19" t="inlineStr">
        <is>
          <t>Design</t>
        </is>
      </c>
      <c r="J29" s="19" t="inlineStr">
        <is>
          <t>Design - BOQ</t>
        </is>
      </c>
    </row>
    <row r="30">
      <c r="A30" s="19" t="inlineStr">
        <is>
          <t>Godrej Blue</t>
        </is>
      </c>
      <c r="B30" s="19" t="inlineStr">
        <is>
          <t>Club House Interiors</t>
        </is>
      </c>
      <c r="C30" s="20" t="n">
        <v>46469</v>
      </c>
      <c r="D30" s="20" t="n">
        <v>46469</v>
      </c>
      <c r="E30" s="20" t="n">
        <v>46469</v>
      </c>
      <c r="F30" s="21" t="n">
        <v>7.22</v>
      </c>
      <c r="G30" s="19" t="inlineStr">
        <is>
          <t>Not provided</t>
        </is>
      </c>
      <c r="H30" s="19" t="inlineStr">
        <is>
          <t>Provided</t>
        </is>
      </c>
      <c r="I30" s="19" t="inlineStr">
        <is>
          <t>C&amp;B</t>
        </is>
      </c>
      <c r="J30" s="19" t="inlineStr">
        <is>
          <t>C&amp;B - BOQ</t>
        </is>
      </c>
    </row>
    <row r="31">
      <c r="A31" s="19" t="inlineStr">
        <is>
          <t>Godrej Se7en, Phase 2A</t>
        </is>
      </c>
      <c r="B31" s="19" t="inlineStr">
        <is>
          <t>Panels except High Side</t>
        </is>
      </c>
      <c r="C31" s="20" t="n">
        <v>46245</v>
      </c>
      <c r="D31" s="20" t="n">
        <v>46359</v>
      </c>
      <c r="E31" s="20" t="n">
        <v>46359</v>
      </c>
      <c r="F31" s="21" t="n">
        <v>0.5</v>
      </c>
      <c r="G31" s="19" t="inlineStr">
        <is>
          <t>Not provided</t>
        </is>
      </c>
      <c r="H31" s="19" t="inlineStr">
        <is>
          <t>Provided</t>
        </is>
      </c>
      <c r="I31" s="19" t="inlineStr">
        <is>
          <t>C&amp;B</t>
        </is>
      </c>
      <c r="J31" s="19" t="inlineStr">
        <is>
          <t>C&amp;B - BOQ</t>
        </is>
      </c>
    </row>
    <row r="32">
      <c r="A32" s="19" t="inlineStr">
        <is>
          <t>Godrej Se7en, Phase 2A</t>
        </is>
      </c>
      <c r="B32" s="19" t="inlineStr">
        <is>
          <t>DG</t>
        </is>
      </c>
      <c r="C32" s="20" t="n">
        <v>46220</v>
      </c>
      <c r="D32" s="20" t="n">
        <v>46310</v>
      </c>
      <c r="E32" s="20" t="n">
        <v>46310</v>
      </c>
      <c r="F32" s="21" t="n"/>
      <c r="G32" s="19" t="inlineStr">
        <is>
          <t>Provided</t>
        </is>
      </c>
      <c r="H32" s="19" t="inlineStr">
        <is>
          <t>Provided</t>
        </is>
      </c>
      <c r="I32" s="19" t="inlineStr">
        <is>
          <t>C&amp;P</t>
        </is>
      </c>
      <c r="J32" s="19" t="inlineStr"/>
    </row>
    <row r="33">
      <c r="A33" s="19" t="inlineStr">
        <is>
          <t>Godrej Se7en, Phase 2A</t>
        </is>
      </c>
      <c r="B33" s="19" t="inlineStr">
        <is>
          <t>External Firefighting</t>
        </is>
      </c>
      <c r="C33" s="20" t="n">
        <v>46216</v>
      </c>
      <c r="D33" s="20" t="n">
        <v>46271</v>
      </c>
      <c r="E33" s="20" t="n">
        <v>46271</v>
      </c>
      <c r="F33" s="21" t="n"/>
      <c r="G33" s="19" t="inlineStr">
        <is>
          <t>Provided</t>
        </is>
      </c>
      <c r="H33" s="19" t="inlineStr">
        <is>
          <t>Provided</t>
        </is>
      </c>
      <c r="I33" s="19" t="inlineStr">
        <is>
          <t>C&amp;P</t>
        </is>
      </c>
      <c r="J33" s="19" t="inlineStr"/>
    </row>
    <row r="34">
      <c r="A34" s="19" t="inlineStr">
        <is>
          <t>Godrej Se7en, Phase 2A</t>
        </is>
      </c>
      <c r="B34" s="19" t="inlineStr">
        <is>
          <t>Swimming Pool</t>
        </is>
      </c>
      <c r="C34" s="20" t="n">
        <v>46308</v>
      </c>
      <c r="D34" s="20" t="n">
        <v>46197</v>
      </c>
      <c r="E34" s="20" t="n">
        <v>46197</v>
      </c>
      <c r="F34" s="21" t="n"/>
      <c r="G34" s="19" t="inlineStr">
        <is>
          <t>Provided</t>
        </is>
      </c>
      <c r="H34" s="19" t="inlineStr">
        <is>
          <t>Provided</t>
        </is>
      </c>
      <c r="I34" s="19" t="inlineStr">
        <is>
          <t>C&amp;P</t>
        </is>
      </c>
      <c r="J34" s="19" t="inlineStr"/>
    </row>
    <row r="35">
      <c r="A35" s="19" t="inlineStr">
        <is>
          <t>Godrej Se7en, Phase 2A</t>
        </is>
      </c>
      <c r="B35" s="19" t="inlineStr">
        <is>
          <t>Road</t>
        </is>
      </c>
      <c r="C35" s="20" t="n">
        <v>46214</v>
      </c>
      <c r="D35" s="20" t="n">
        <v>46347</v>
      </c>
      <c r="E35" s="20" t="n">
        <v>46347</v>
      </c>
      <c r="F35" s="21" t="n">
        <v>1</v>
      </c>
      <c r="G35" s="19" t="inlineStr">
        <is>
          <t>Not provided</t>
        </is>
      </c>
      <c r="H35" s="19" t="inlineStr">
        <is>
          <t>Provided</t>
        </is>
      </c>
      <c r="I35" s="19" t="inlineStr">
        <is>
          <t>C&amp;B</t>
        </is>
      </c>
      <c r="J35" s="19" t="inlineStr">
        <is>
          <t>C&amp;B - BOQ</t>
        </is>
      </c>
    </row>
    <row r="36">
      <c r="A36" s="19" t="inlineStr">
        <is>
          <t>Godrej Se7en, Phase 2A</t>
        </is>
      </c>
      <c r="B36" s="19" t="inlineStr">
        <is>
          <t xml:space="preserve">Hard Scape Work </t>
        </is>
      </c>
      <c r="C36" s="20" t="n">
        <v>46201</v>
      </c>
      <c r="D36" s="20" t="n">
        <v>46308</v>
      </c>
      <c r="E36" s="20" t="n">
        <v>46308</v>
      </c>
      <c r="F36" s="21" t="n"/>
      <c r="G36" s="19" t="inlineStr">
        <is>
          <t>Provided</t>
        </is>
      </c>
      <c r="H36" s="19" t="inlineStr">
        <is>
          <t>Provided</t>
        </is>
      </c>
      <c r="I36" s="19" t="inlineStr">
        <is>
          <t>C&amp;P</t>
        </is>
      </c>
      <c r="J36" s="19" t="inlineStr"/>
    </row>
    <row r="37">
      <c r="A37" s="19" t="inlineStr">
        <is>
          <t>Godrej Se7en, Phase 2A</t>
        </is>
      </c>
      <c r="B37" s="19" t="inlineStr">
        <is>
          <t xml:space="preserve">Landscape Work </t>
        </is>
      </c>
      <c r="C37" s="20" t="n">
        <v>46293</v>
      </c>
      <c r="D37" s="20" t="n">
        <v>46308</v>
      </c>
      <c r="E37" s="20" t="n">
        <v>46308</v>
      </c>
      <c r="F37" s="21" t="n"/>
      <c r="G37" s="19" t="inlineStr">
        <is>
          <t>Provided</t>
        </is>
      </c>
      <c r="H37" s="19" t="inlineStr">
        <is>
          <t>Provided</t>
        </is>
      </c>
      <c r="I37" s="19" t="inlineStr">
        <is>
          <t>C&amp;P</t>
        </is>
      </c>
      <c r="J37" s="19" t="inlineStr"/>
    </row>
    <row r="38">
      <c r="A38" s="19" t="inlineStr">
        <is>
          <t>Godrej Se7en, Phase 2A</t>
        </is>
      </c>
      <c r="B38" s="19" t="inlineStr">
        <is>
          <t>Club House Finishing &amp; Interiors incl MEP &amp; HVAC</t>
        </is>
      </c>
      <c r="C38" s="20" t="n">
        <v>46286</v>
      </c>
      <c r="D38" s="20" t="n">
        <v>46240</v>
      </c>
      <c r="E38" s="20" t="n">
        <v>46240</v>
      </c>
      <c r="F38" s="21" t="n"/>
      <c r="G38" s="19" t="inlineStr">
        <is>
          <t>Provided</t>
        </is>
      </c>
      <c r="H38" s="19" t="inlineStr">
        <is>
          <t>Provided</t>
        </is>
      </c>
      <c r="I38" s="19" t="inlineStr">
        <is>
          <t>C&amp;P</t>
        </is>
      </c>
      <c r="J38" s="19" t="inlineStr"/>
    </row>
    <row r="39">
      <c r="A39" s="19" t="inlineStr">
        <is>
          <t>Godrej Se7en, Phase 2A</t>
        </is>
      </c>
      <c r="B39" s="19" t="inlineStr">
        <is>
          <t>FTTH &amp; CCTV, Video Door Phone, Access Control</t>
        </is>
      </c>
      <c r="C39" s="20" t="n">
        <v>46137</v>
      </c>
      <c r="D39" s="20" t="n">
        <v>46340</v>
      </c>
      <c r="E39" s="20" t="n">
        <v>46340</v>
      </c>
      <c r="F39" s="21" t="n">
        <v>0.5</v>
      </c>
      <c r="G39" s="19" t="inlineStr">
        <is>
          <t>Not provided</t>
        </is>
      </c>
      <c r="H39" s="19" t="inlineStr">
        <is>
          <t>Not provided</t>
        </is>
      </c>
      <c r="I39" s="19" t="inlineStr">
        <is>
          <t>Design</t>
        </is>
      </c>
      <c r="J39" s="19" t="inlineStr">
        <is>
          <t>Design - BOQ</t>
        </is>
      </c>
    </row>
    <row r="40">
      <c r="A40" s="19" t="inlineStr">
        <is>
          <t>Godrej Se7en, Phase 2A</t>
        </is>
      </c>
      <c r="B40" s="19" t="inlineStr">
        <is>
          <t>SITC Sports flooring</t>
        </is>
      </c>
      <c r="C40" s="20" t="n">
        <v>46280</v>
      </c>
      <c r="D40" s="20" t="n">
        <v>46302</v>
      </c>
      <c r="E40" s="20" t="n">
        <v>46302</v>
      </c>
      <c r="F40" s="21" t="n"/>
      <c r="G40" s="19" t="inlineStr">
        <is>
          <t>Not provided</t>
        </is>
      </c>
      <c r="H40" s="19" t="inlineStr">
        <is>
          <t>Provided</t>
        </is>
      </c>
      <c r="I40" s="19" t="inlineStr">
        <is>
          <t>C&amp;B</t>
        </is>
      </c>
      <c r="J40" s="19" t="inlineStr">
        <is>
          <t>C&amp;B - BOQ</t>
        </is>
      </c>
    </row>
    <row r="41">
      <c r="A41" s="19" t="inlineStr">
        <is>
          <t>Godrej Se7en, Phase 2A</t>
        </is>
      </c>
      <c r="B41" s="19" t="inlineStr">
        <is>
          <t>Soft Furnishing Club House</t>
        </is>
      </c>
      <c r="C41" s="20" t="n">
        <v>46280</v>
      </c>
      <c r="D41" s="20" t="n">
        <v>46297</v>
      </c>
      <c r="E41" s="20" t="n">
        <v>46297</v>
      </c>
      <c r="F41" s="21" t="n"/>
      <c r="G41" s="19" t="inlineStr">
        <is>
          <t>Not provided</t>
        </is>
      </c>
      <c r="H41" s="19" t="inlineStr">
        <is>
          <t>Provided</t>
        </is>
      </c>
      <c r="I41" s="19" t="inlineStr">
        <is>
          <t>C&amp;B</t>
        </is>
      </c>
      <c r="J41" s="19" t="inlineStr">
        <is>
          <t>C&amp;B - BOQ</t>
        </is>
      </c>
    </row>
    <row r="42">
      <c r="A42" s="19" t="inlineStr">
        <is>
          <t>Godrej Se7en, Phase 2A</t>
        </is>
      </c>
      <c r="B42" s="19" t="inlineStr">
        <is>
          <t>Gym Equipment &amp; Play Equipment in Club House</t>
        </is>
      </c>
      <c r="C42" s="20" t="n">
        <v>46280</v>
      </c>
      <c r="D42" s="20" t="n">
        <v>46238</v>
      </c>
      <c r="E42" s="20" t="n">
        <v>46238</v>
      </c>
      <c r="F42" s="21" t="n"/>
      <c r="G42" s="19" t="inlineStr">
        <is>
          <t>Provided</t>
        </is>
      </c>
      <c r="H42" s="19" t="inlineStr">
        <is>
          <t>Provided</t>
        </is>
      </c>
      <c r="I42" s="19" t="inlineStr">
        <is>
          <t>C&amp;P</t>
        </is>
      </c>
      <c r="J42" s="19" t="inlineStr"/>
    </row>
    <row r="43">
      <c r="A43" s="19" t="inlineStr">
        <is>
          <t>Godrej Se7en, Phase 2A</t>
        </is>
      </c>
      <c r="B43" s="19" t="inlineStr">
        <is>
          <t>External Illumination</t>
        </is>
      </c>
      <c r="C43" s="20" t="n">
        <v>46275</v>
      </c>
      <c r="D43" s="20" t="n">
        <v>46305</v>
      </c>
      <c r="E43" s="20" t="n">
        <v>46305</v>
      </c>
      <c r="F43" s="21" t="n">
        <v>0.25</v>
      </c>
      <c r="G43" s="19" t="inlineStr">
        <is>
          <t>Not provided</t>
        </is>
      </c>
      <c r="H43" s="19" t="inlineStr">
        <is>
          <t>Provided</t>
        </is>
      </c>
      <c r="I43" s="19" t="inlineStr">
        <is>
          <t>C&amp;B</t>
        </is>
      </c>
      <c r="J43" s="19" t="inlineStr">
        <is>
          <t>C&amp;B - BOQ</t>
        </is>
      </c>
    </row>
    <row r="44">
      <c r="A44" s="19" t="inlineStr">
        <is>
          <t>Godrej Se7en, Phase 2A</t>
        </is>
      </c>
      <c r="B44" s="19" t="inlineStr">
        <is>
          <t>External Louver for Non Tower</t>
        </is>
      </c>
      <c r="C44" s="20" t="n">
        <v>46306</v>
      </c>
      <c r="D44" s="20" t="n">
        <v>46265</v>
      </c>
      <c r="E44" s="20" t="n">
        <v>46265</v>
      </c>
      <c r="F44" s="21" t="n"/>
      <c r="G44" s="19" t="inlineStr">
        <is>
          <t>Provided</t>
        </is>
      </c>
      <c r="H44" s="19" t="inlineStr">
        <is>
          <t>Provided</t>
        </is>
      </c>
      <c r="I44" s="19" t="inlineStr">
        <is>
          <t>C&amp;P</t>
        </is>
      </c>
      <c r="J44" s="19" t="inlineStr"/>
    </row>
    <row r="45">
      <c r="A45" s="19" t="inlineStr">
        <is>
          <t>Godrej Se7en, Phase 2A</t>
        </is>
      </c>
      <c r="B45" s="19" t="inlineStr">
        <is>
          <t>Sculptures</t>
        </is>
      </c>
      <c r="C45" s="20" t="n">
        <v>46311</v>
      </c>
      <c r="D45" s="20" t="n">
        <v>46341</v>
      </c>
      <c r="E45" s="20" t="n">
        <v>46341</v>
      </c>
      <c r="F45" s="21" t="n">
        <v>0.2</v>
      </c>
      <c r="G45" s="19" t="inlineStr">
        <is>
          <t>Not provided</t>
        </is>
      </c>
      <c r="H45" s="19" t="inlineStr">
        <is>
          <t>Not provided</t>
        </is>
      </c>
      <c r="I45" s="19" t="inlineStr">
        <is>
          <t>Design</t>
        </is>
      </c>
      <c r="J45" s="19" t="inlineStr">
        <is>
          <t>Design - BOQ</t>
        </is>
      </c>
    </row>
    <row r="46">
      <c r="A46" s="19" t="inlineStr">
        <is>
          <t>Godrej Se7en, Phase 2B</t>
        </is>
      </c>
      <c r="B46" s="19" t="inlineStr">
        <is>
          <t>Fire Fighting - Panels</t>
        </is>
      </c>
      <c r="C46" s="20" t="n">
        <v>46377</v>
      </c>
      <c r="D46" s="20" t="n">
        <v>46216</v>
      </c>
      <c r="E46" s="20" t="n">
        <v>46216</v>
      </c>
      <c r="F46" s="21" t="n"/>
      <c r="G46" s="19" t="inlineStr">
        <is>
          <t>Provided</t>
        </is>
      </c>
      <c r="H46" s="19" t="inlineStr">
        <is>
          <t>Provided</t>
        </is>
      </c>
      <c r="I46" s="19" t="inlineStr">
        <is>
          <t>C&amp;P</t>
        </is>
      </c>
      <c r="J46" s="19" t="inlineStr"/>
    </row>
    <row r="47">
      <c r="A47" s="19" t="inlineStr">
        <is>
          <t>Godrej Se7en, Phase 2B</t>
        </is>
      </c>
      <c r="B47" s="19" t="inlineStr">
        <is>
          <t>External Plumbing - Panels</t>
        </is>
      </c>
      <c r="C47" s="20" t="n">
        <v>46299</v>
      </c>
      <c r="D47" s="20" t="n">
        <v>46234</v>
      </c>
      <c r="E47" s="20" t="n">
        <v>46234</v>
      </c>
      <c r="F47" s="21" t="n"/>
      <c r="G47" s="19" t="inlineStr">
        <is>
          <t>Provided</t>
        </is>
      </c>
      <c r="H47" s="19" t="inlineStr">
        <is>
          <t>Provided</t>
        </is>
      </c>
      <c r="I47" s="19" t="inlineStr">
        <is>
          <t>C&amp;P</t>
        </is>
      </c>
      <c r="J47" s="19" t="inlineStr"/>
    </row>
    <row r="48">
      <c r="A48" s="19" t="inlineStr">
        <is>
          <t>Godrej Se7en, Phase 2B</t>
        </is>
      </c>
      <c r="B48" s="19" t="inlineStr">
        <is>
          <t>External Electrical -HT Panel</t>
        </is>
      </c>
      <c r="C48" s="20" t="n">
        <v>46268</v>
      </c>
      <c r="D48" s="20" t="n">
        <v>46380</v>
      </c>
      <c r="E48" s="20" t="n">
        <v>46380</v>
      </c>
      <c r="F48" s="21" t="n">
        <v>1</v>
      </c>
      <c r="G48" s="19" t="inlineStr">
        <is>
          <t>Not provided</t>
        </is>
      </c>
      <c r="H48" s="19" t="inlineStr">
        <is>
          <t>Not provided</t>
        </is>
      </c>
      <c r="I48" s="19" t="inlineStr">
        <is>
          <t>Design</t>
        </is>
      </c>
      <c r="J48" s="19" t="inlineStr">
        <is>
          <t>Design - BOQ</t>
        </is>
      </c>
    </row>
    <row r="49">
      <c r="A49" s="19" t="inlineStr">
        <is>
          <t>Godrej Se7en, Phase 2B</t>
        </is>
      </c>
      <c r="B49" s="19" t="inlineStr">
        <is>
          <t>External Electrical - Panels except High Side</t>
        </is>
      </c>
      <c r="C49" s="20" t="n">
        <v>46239</v>
      </c>
      <c r="D49" s="20" t="n">
        <v>46234</v>
      </c>
      <c r="E49" s="20" t="n">
        <v>46234</v>
      </c>
      <c r="F49" s="21" t="n"/>
      <c r="G49" s="19" t="inlineStr">
        <is>
          <t>Not provided</t>
        </is>
      </c>
      <c r="H49" s="19" t="inlineStr">
        <is>
          <t>Provided</t>
        </is>
      </c>
      <c r="I49" s="19" t="inlineStr">
        <is>
          <t>C&amp;B</t>
        </is>
      </c>
      <c r="J49" s="19" t="inlineStr">
        <is>
          <t>C&amp;B - BOQ</t>
        </is>
      </c>
    </row>
    <row r="50">
      <c r="A50" s="19" t="inlineStr">
        <is>
          <t>Godrej Se7en, Phase 2B</t>
        </is>
      </c>
      <c r="B50" s="19" t="inlineStr">
        <is>
          <t>Solar</t>
        </is>
      </c>
      <c r="C50" s="20" t="n">
        <v>46261</v>
      </c>
      <c r="D50" s="20" t="n">
        <v>46267</v>
      </c>
      <c r="E50" s="20" t="n">
        <v>46267</v>
      </c>
      <c r="F50" s="21" t="n">
        <v>0.13</v>
      </c>
      <c r="G50" s="19" t="inlineStr">
        <is>
          <t>Provided</t>
        </is>
      </c>
      <c r="H50" s="19" t="inlineStr">
        <is>
          <t>Provided</t>
        </is>
      </c>
      <c r="I50" s="19" t="inlineStr">
        <is>
          <t>C&amp;P</t>
        </is>
      </c>
      <c r="J50" s="19" t="inlineStr"/>
    </row>
    <row r="51">
      <c r="A51" s="19" t="inlineStr">
        <is>
          <t>Godrej Se7en, Phase 2B</t>
        </is>
      </c>
      <c r="B51" s="19" t="inlineStr">
        <is>
          <t>DG</t>
        </is>
      </c>
      <c r="C51" s="20" t="n">
        <v>46400</v>
      </c>
      <c r="D51" s="20" t="n">
        <v>46204</v>
      </c>
      <c r="E51" s="20" t="n">
        <v>46204</v>
      </c>
      <c r="F51" s="21" t="n"/>
      <c r="G51" s="19" t="inlineStr">
        <is>
          <t>Provided</t>
        </is>
      </c>
      <c r="H51" s="19" t="inlineStr">
        <is>
          <t>Provided</t>
        </is>
      </c>
      <c r="I51" s="19" t="inlineStr">
        <is>
          <t>C&amp;P</t>
        </is>
      </c>
      <c r="J51" s="19" t="inlineStr"/>
    </row>
    <row r="52">
      <c r="A52" s="19" t="inlineStr">
        <is>
          <t>Godrej Se7en, Phase 2B</t>
        </is>
      </c>
      <c r="B52" s="19" t="inlineStr">
        <is>
          <t>Road</t>
        </is>
      </c>
      <c r="C52" s="20" t="n">
        <v>46307</v>
      </c>
      <c r="D52" s="20" t="n">
        <v>46323</v>
      </c>
      <c r="E52" s="20" t="n">
        <v>46323</v>
      </c>
      <c r="F52" s="21" t="n">
        <v>1</v>
      </c>
      <c r="G52" s="19" t="inlineStr">
        <is>
          <t>Provided</t>
        </is>
      </c>
      <c r="H52" s="19" t="inlineStr">
        <is>
          <t>Provided</t>
        </is>
      </c>
      <c r="I52" s="19" t="inlineStr">
        <is>
          <t>C&amp;P</t>
        </is>
      </c>
      <c r="J52" s="19" t="inlineStr"/>
    </row>
    <row r="53">
      <c r="A53" s="19" t="inlineStr">
        <is>
          <t>Godrej Se7en, Phase 2B</t>
        </is>
      </c>
      <c r="B53" s="19" t="inlineStr">
        <is>
          <t>Hardscape</t>
        </is>
      </c>
      <c r="C53" s="20" t="n">
        <v>46299</v>
      </c>
      <c r="D53" s="20" t="n">
        <v>46299</v>
      </c>
      <c r="E53" s="20" t="n">
        <v>46299</v>
      </c>
      <c r="F53" s="21" t="n"/>
      <c r="G53" s="19" t="inlineStr">
        <is>
          <t>Provided</t>
        </is>
      </c>
      <c r="H53" s="19" t="inlineStr">
        <is>
          <t>Provided</t>
        </is>
      </c>
      <c r="I53" s="19" t="inlineStr">
        <is>
          <t>C&amp;P</t>
        </is>
      </c>
      <c r="J53" s="19" t="inlineStr"/>
    </row>
    <row r="54">
      <c r="A54" s="19" t="inlineStr">
        <is>
          <t>Godrej Se7en, Phase 2B</t>
        </is>
      </c>
      <c r="B54" s="19" t="inlineStr">
        <is>
          <t>Softscape</t>
        </is>
      </c>
      <c r="C54" s="20" t="n">
        <v>46299</v>
      </c>
      <c r="D54" s="20" t="n">
        <v>46299</v>
      </c>
      <c r="E54" s="20" t="n">
        <v>46299</v>
      </c>
      <c r="F54" s="21" t="n"/>
      <c r="G54" s="19" t="inlineStr">
        <is>
          <t>Provided</t>
        </is>
      </c>
      <c r="H54" s="19" t="inlineStr">
        <is>
          <t>Provided</t>
        </is>
      </c>
      <c r="I54" s="19" t="inlineStr">
        <is>
          <t>C&amp;P</t>
        </is>
      </c>
      <c r="J54" s="19" t="inlineStr"/>
    </row>
    <row r="55">
      <c r="A55" s="19" t="inlineStr">
        <is>
          <t>Godrej Se7en, Phase 2B</t>
        </is>
      </c>
      <c r="B55" s="19" t="inlineStr">
        <is>
          <t>Club House Interiors</t>
        </is>
      </c>
      <c r="C55" s="20" t="n">
        <v>46335</v>
      </c>
      <c r="D55" s="20" t="n">
        <v>46335</v>
      </c>
      <c r="E55" s="20" t="n">
        <v>46335</v>
      </c>
      <c r="F55" s="21" t="n">
        <v>2.4</v>
      </c>
      <c r="G55" s="19" t="inlineStr">
        <is>
          <t>Provided</t>
        </is>
      </c>
      <c r="H55" s="19" t="inlineStr">
        <is>
          <t>Provided</t>
        </is>
      </c>
      <c r="I55" s="19" t="inlineStr">
        <is>
          <t>C&amp;P</t>
        </is>
      </c>
      <c r="J55" s="19" t="inlineStr"/>
    </row>
    <row r="56">
      <c r="A56" s="19" t="inlineStr">
        <is>
          <t>Godrej Se7en, Phase 2B</t>
        </is>
      </c>
      <c r="B56" s="19" t="inlineStr">
        <is>
          <t>FAPA and CCTV and FTTH, Security, Boom Barriers</t>
        </is>
      </c>
      <c r="C56" s="20" t="n">
        <v>46341</v>
      </c>
      <c r="D56" s="20" t="n">
        <v>46277</v>
      </c>
      <c r="E56" s="20" t="n">
        <v>46277</v>
      </c>
      <c r="F56" s="21" t="n"/>
      <c r="G56" s="19" t="inlineStr">
        <is>
          <t>Provided</t>
        </is>
      </c>
      <c r="H56" s="19" t="inlineStr">
        <is>
          <t>Provided</t>
        </is>
      </c>
      <c r="I56" s="19" t="inlineStr">
        <is>
          <t>C&amp;P</t>
        </is>
      </c>
      <c r="J56" s="19" t="inlineStr"/>
    </row>
    <row r="57">
      <c r="A57" s="19" t="inlineStr">
        <is>
          <t>Godrej Se7en, Phase 2B</t>
        </is>
      </c>
      <c r="B57" s="19" t="inlineStr">
        <is>
          <t>Play Amenities</t>
        </is>
      </c>
      <c r="C57" s="20" t="n">
        <v>46350</v>
      </c>
      <c r="D57" s="20" t="n">
        <v>46350</v>
      </c>
      <c r="E57" s="20" t="n">
        <v>46350</v>
      </c>
      <c r="F57" s="21" t="n">
        <v>0.25</v>
      </c>
      <c r="G57" s="19" t="inlineStr">
        <is>
          <t>Provided</t>
        </is>
      </c>
      <c r="H57" s="19" t="inlineStr">
        <is>
          <t>Provided</t>
        </is>
      </c>
      <c r="I57" s="19" t="inlineStr">
        <is>
          <t>C&amp;P</t>
        </is>
      </c>
      <c r="J57" s="19" t="inlineStr"/>
    </row>
    <row r="58">
      <c r="A58" s="19" t="inlineStr">
        <is>
          <t>Godrej Se7en, Phase 2B</t>
        </is>
      </c>
      <c r="B58" s="19" t="inlineStr">
        <is>
          <t>Children's Play Equipments</t>
        </is>
      </c>
      <c r="C58" s="20" t="n">
        <v>46350</v>
      </c>
      <c r="D58" s="20" t="n">
        <v>46350</v>
      </c>
      <c r="E58" s="20" t="n">
        <v>46350</v>
      </c>
      <c r="F58" s="21" t="n">
        <v>0.15</v>
      </c>
      <c r="G58" s="19" t="inlineStr">
        <is>
          <t>Provided</t>
        </is>
      </c>
      <c r="H58" s="19" t="inlineStr">
        <is>
          <t>Provided</t>
        </is>
      </c>
      <c r="I58" s="19" t="inlineStr">
        <is>
          <t>C&amp;P</t>
        </is>
      </c>
      <c r="J58" s="19" t="inlineStr"/>
    </row>
    <row r="59">
      <c r="A59" s="19" t="inlineStr">
        <is>
          <t>Godrej Se7en, Phase 2B</t>
        </is>
      </c>
      <c r="B59" s="19" t="inlineStr">
        <is>
          <t>Gym Equipments</t>
        </is>
      </c>
      <c r="C59" s="20" t="n">
        <v>46350</v>
      </c>
      <c r="D59" s="20" t="n">
        <v>46350</v>
      </c>
      <c r="E59" s="20" t="n">
        <v>46350</v>
      </c>
      <c r="F59" s="21" t="n">
        <v>0.07000000000000001</v>
      </c>
      <c r="G59" s="19" t="inlineStr">
        <is>
          <t>Provided</t>
        </is>
      </c>
      <c r="H59" s="19" t="inlineStr">
        <is>
          <t>Provided</t>
        </is>
      </c>
      <c r="I59" s="19" t="inlineStr">
        <is>
          <t>C&amp;P</t>
        </is>
      </c>
      <c r="J59" s="19" t="inlineStr"/>
    </row>
    <row r="60">
      <c r="A60" s="19" t="inlineStr">
        <is>
          <t>Godrej Se7en, Elevate</t>
        </is>
      </c>
      <c r="B60" s="19" t="inlineStr">
        <is>
          <t>Internal Plumbing</t>
        </is>
      </c>
      <c r="C60" s="20" t="n">
        <v>46207</v>
      </c>
      <c r="D60" s="20" t="n">
        <v>46280</v>
      </c>
      <c r="E60" s="20" t="n">
        <v>46280</v>
      </c>
      <c r="F60" s="21" t="n"/>
      <c r="G60" s="19" t="inlineStr">
        <is>
          <t>Provided</t>
        </is>
      </c>
      <c r="H60" s="19" t="inlineStr">
        <is>
          <t>Provided</t>
        </is>
      </c>
      <c r="I60" s="19" t="inlineStr">
        <is>
          <t>C&amp;P</t>
        </is>
      </c>
      <c r="J60" s="19" t="inlineStr"/>
    </row>
    <row r="61">
      <c r="A61" s="19" t="inlineStr">
        <is>
          <t>Godrej Se7en, Elevate</t>
        </is>
      </c>
      <c r="B61" s="19" t="inlineStr">
        <is>
          <t>CP Fittings and Sanitary Fixtures</t>
        </is>
      </c>
      <c r="C61" s="20" t="n">
        <v>46265</v>
      </c>
      <c r="D61" s="20" t="n">
        <v>46318</v>
      </c>
      <c r="E61" s="20" t="n">
        <v>46318</v>
      </c>
      <c r="F61" s="21" t="n"/>
      <c r="G61" s="19" t="inlineStr">
        <is>
          <t>Provided</t>
        </is>
      </c>
      <c r="H61" s="19" t="inlineStr">
        <is>
          <t>Provided</t>
        </is>
      </c>
      <c r="I61" s="19" t="inlineStr">
        <is>
          <t>C&amp;P</t>
        </is>
      </c>
      <c r="J61" s="19" t="inlineStr"/>
    </row>
    <row r="62">
      <c r="A62" s="19" t="inlineStr">
        <is>
          <t>Godrej Se7en, Elevate</t>
        </is>
      </c>
      <c r="B62" s="19" t="inlineStr">
        <is>
          <t>Fire Fighting</t>
        </is>
      </c>
      <c r="C62" s="20" t="n">
        <v>46222</v>
      </c>
      <c r="D62" s="20" t="n">
        <v>46268</v>
      </c>
      <c r="E62" s="20" t="n">
        <v>46268</v>
      </c>
      <c r="F62" s="21" t="n">
        <v>2.9</v>
      </c>
      <c r="G62" s="19" t="inlineStr">
        <is>
          <t>Provided</t>
        </is>
      </c>
      <c r="H62" s="19" t="inlineStr">
        <is>
          <t>Provided</t>
        </is>
      </c>
      <c r="I62" s="19" t="inlineStr">
        <is>
          <t>C&amp;P</t>
        </is>
      </c>
      <c r="J62" s="19" t="inlineStr"/>
    </row>
    <row r="63">
      <c r="A63" s="19" t="inlineStr">
        <is>
          <t>Godrej Se7en, Elevate</t>
        </is>
      </c>
      <c r="B63" s="19" t="inlineStr">
        <is>
          <t>Fire Fighting - Pumps</t>
        </is>
      </c>
      <c r="C63" s="20" t="n">
        <v>46355</v>
      </c>
      <c r="D63" s="20" t="n">
        <v>46268</v>
      </c>
      <c r="E63" s="20" t="n">
        <v>46268</v>
      </c>
      <c r="F63" s="21" t="n">
        <v>0.3</v>
      </c>
      <c r="G63" s="19" t="inlineStr">
        <is>
          <t>Provided</t>
        </is>
      </c>
      <c r="H63" s="19" t="inlineStr">
        <is>
          <t>Provided</t>
        </is>
      </c>
      <c r="I63" s="19" t="inlineStr">
        <is>
          <t>C&amp;P</t>
        </is>
      </c>
      <c r="J63" s="19" t="inlineStr"/>
    </row>
    <row r="64">
      <c r="A64" s="19" t="inlineStr">
        <is>
          <t>Godrej Se7en, Elevate</t>
        </is>
      </c>
      <c r="B64" s="19" t="inlineStr">
        <is>
          <t>Fire Fighting - Panels</t>
        </is>
      </c>
      <c r="C64" s="20" t="n">
        <v>46415</v>
      </c>
      <c r="D64" s="20" t="n">
        <v>46268</v>
      </c>
      <c r="E64" s="20" t="n">
        <v>46268</v>
      </c>
      <c r="F64" s="21" t="n">
        <v>0.15</v>
      </c>
      <c r="G64" s="19" t="inlineStr">
        <is>
          <t>Provided</t>
        </is>
      </c>
      <c r="H64" s="19" t="inlineStr">
        <is>
          <t>Provided</t>
        </is>
      </c>
      <c r="I64" s="19" t="inlineStr">
        <is>
          <t>C&amp;P</t>
        </is>
      </c>
      <c r="J64" s="19" t="inlineStr"/>
    </row>
    <row r="65">
      <c r="A65" s="19" t="inlineStr">
        <is>
          <t>Godrej Se7en, Elevate</t>
        </is>
      </c>
      <c r="B65" s="19" t="inlineStr">
        <is>
          <t>DB, MCB, RCCB</t>
        </is>
      </c>
      <c r="C65" s="20" t="n">
        <v>46526</v>
      </c>
      <c r="D65" s="20" t="n">
        <v>46250</v>
      </c>
      <c r="E65" s="20" t="n">
        <v>46250</v>
      </c>
      <c r="F65" s="21" t="n"/>
      <c r="G65" s="19" t="inlineStr">
        <is>
          <t>Provided</t>
        </is>
      </c>
      <c r="H65" s="19" t="inlineStr">
        <is>
          <t>Provided</t>
        </is>
      </c>
      <c r="I65" s="19" t="inlineStr">
        <is>
          <t>C&amp;P</t>
        </is>
      </c>
      <c r="J65" s="19" t="inlineStr"/>
    </row>
    <row r="66">
      <c r="A66" s="19" t="inlineStr">
        <is>
          <t>Godrej Se7en, Elevate</t>
        </is>
      </c>
      <c r="B66" s="19" t="inlineStr">
        <is>
          <t>Internal Electrical - Panels</t>
        </is>
      </c>
      <c r="C66" s="20" t="n">
        <v>46618</v>
      </c>
      <c r="D66" s="20" t="n">
        <v>46280</v>
      </c>
      <c r="E66" s="20" t="n">
        <v>46280</v>
      </c>
      <c r="F66" s="21" t="n"/>
      <c r="G66" s="19" t="inlineStr">
        <is>
          <t>Provided</t>
        </is>
      </c>
      <c r="H66" s="19" t="inlineStr">
        <is>
          <t>Provided</t>
        </is>
      </c>
      <c r="I66" s="19" t="inlineStr">
        <is>
          <t>C&amp;P</t>
        </is>
      </c>
      <c r="J66" s="19" t="inlineStr"/>
    </row>
    <row r="67">
      <c r="A67" s="19" t="inlineStr">
        <is>
          <t>Godrej Se7en, Elevate</t>
        </is>
      </c>
      <c r="B67" s="19" t="inlineStr">
        <is>
          <t>Windows, Louvers, FAÇADE and Fins</t>
        </is>
      </c>
      <c r="C67" s="20" t="n">
        <v>46265</v>
      </c>
      <c r="D67" s="20" t="n">
        <v>46338</v>
      </c>
      <c r="E67" s="20" t="n">
        <v>46338</v>
      </c>
      <c r="F67" s="21" t="n">
        <v>4.5</v>
      </c>
      <c r="G67" s="19" t="inlineStr">
        <is>
          <t>Provided</t>
        </is>
      </c>
      <c r="H67" s="19" t="inlineStr">
        <is>
          <t>Provided</t>
        </is>
      </c>
      <c r="I67" s="19" t="inlineStr">
        <is>
          <t>C&amp;P</t>
        </is>
      </c>
      <c r="J67" s="19" t="inlineStr"/>
    </row>
    <row r="68">
      <c r="A68" s="19" t="inlineStr">
        <is>
          <t>Godrej Se7en, Elevate</t>
        </is>
      </c>
      <c r="B68" s="19" t="inlineStr">
        <is>
          <t>External Painting</t>
        </is>
      </c>
      <c r="C68" s="20" t="n">
        <v>46371</v>
      </c>
      <c r="D68" s="20" t="n">
        <v>46371</v>
      </c>
      <c r="E68" s="20" t="n">
        <v>46371</v>
      </c>
      <c r="F68" s="21" t="n">
        <v>2.4</v>
      </c>
      <c r="G68" s="19" t="inlineStr">
        <is>
          <t>Not provided</t>
        </is>
      </c>
      <c r="H68" s="19" t="inlineStr">
        <is>
          <t>Not provided</t>
        </is>
      </c>
      <c r="I68" s="19" t="inlineStr">
        <is>
          <t>Design</t>
        </is>
      </c>
      <c r="J68" s="19" t="inlineStr">
        <is>
          <t>Design - BOQ</t>
        </is>
      </c>
    </row>
    <row r="69">
      <c r="A69" s="19" t="inlineStr">
        <is>
          <t>Godrej Se7en, Elevate</t>
        </is>
      </c>
      <c r="B69" s="19" t="inlineStr">
        <is>
          <t>Lift</t>
        </is>
      </c>
      <c r="C69" s="20" t="n">
        <v>46245</v>
      </c>
      <c r="D69" s="20" t="n">
        <v>46245</v>
      </c>
      <c r="E69" s="20" t="n">
        <v>46245</v>
      </c>
      <c r="F69" s="21" t="n"/>
      <c r="G69" s="19" t="inlineStr">
        <is>
          <t>Provided</t>
        </is>
      </c>
      <c r="H69" s="19" t="inlineStr">
        <is>
          <t>Provided</t>
        </is>
      </c>
      <c r="I69" s="19" t="inlineStr">
        <is>
          <t>C&amp;P</t>
        </is>
      </c>
      <c r="J69" s="19" t="inlineStr"/>
    </row>
    <row r="70">
      <c r="A70" s="19" t="inlineStr">
        <is>
          <t>Godrej Se7en, Elevate</t>
        </is>
      </c>
      <c r="B70" s="19" t="inlineStr">
        <is>
          <t>External Plumbing</t>
        </is>
      </c>
      <c r="C70" s="20" t="n">
        <v>46387</v>
      </c>
      <c r="D70" s="20" t="n">
        <v>46280</v>
      </c>
      <c r="E70" s="20" t="n">
        <v>46280</v>
      </c>
      <c r="F70" s="21" t="n"/>
      <c r="G70" s="19" t="inlineStr">
        <is>
          <t>Provided</t>
        </is>
      </c>
      <c r="H70" s="19" t="inlineStr">
        <is>
          <t>Provided</t>
        </is>
      </c>
      <c r="I70" s="19" t="inlineStr">
        <is>
          <t>C&amp;P</t>
        </is>
      </c>
      <c r="J70" s="19" t="inlineStr"/>
    </row>
    <row r="71">
      <c r="A71" s="19" t="inlineStr">
        <is>
          <t>Godrej Se7en, Elevate</t>
        </is>
      </c>
      <c r="B71" s="19" t="inlineStr">
        <is>
          <t>External Plumbing - Pumps</t>
        </is>
      </c>
      <c r="C71" s="20" t="n">
        <v>46371</v>
      </c>
      <c r="D71" s="20" t="n">
        <v>46280</v>
      </c>
      <c r="E71" s="20" t="n">
        <v>46280</v>
      </c>
      <c r="F71" s="21" t="n"/>
      <c r="G71" s="19" t="inlineStr">
        <is>
          <t>Provided</t>
        </is>
      </c>
      <c r="H71" s="19" t="inlineStr">
        <is>
          <t>Provided</t>
        </is>
      </c>
      <c r="I71" s="19" t="inlineStr">
        <is>
          <t>C&amp;P</t>
        </is>
      </c>
      <c r="J71" s="19" t="inlineStr"/>
    </row>
    <row r="72">
      <c r="A72" s="19" t="inlineStr">
        <is>
          <t>Godrej Se7en, Elevate</t>
        </is>
      </c>
      <c r="B72" s="19" t="inlineStr">
        <is>
          <t>External Plumbing - Panels</t>
        </is>
      </c>
      <c r="C72" s="20" t="n">
        <v>46431</v>
      </c>
      <c r="D72" s="20" t="n">
        <v>46280</v>
      </c>
      <c r="E72" s="20" t="n">
        <v>46280</v>
      </c>
      <c r="F72" s="21" t="n"/>
      <c r="G72" s="19" t="inlineStr">
        <is>
          <t>Provided</t>
        </is>
      </c>
      <c r="H72" s="19" t="inlineStr">
        <is>
          <t>Provided</t>
        </is>
      </c>
      <c r="I72" s="19" t="inlineStr">
        <is>
          <t>C&amp;P</t>
        </is>
      </c>
      <c r="J72" s="19" t="inlineStr"/>
    </row>
    <row r="73">
      <c r="A73" s="19" t="inlineStr">
        <is>
          <t>Godrej Se7en, Elevate</t>
        </is>
      </c>
      <c r="B73" s="19" t="inlineStr">
        <is>
          <t xml:space="preserve">External Electrical </t>
        </is>
      </c>
      <c r="C73" s="20" t="n">
        <v>46387</v>
      </c>
      <c r="D73" s="20" t="n">
        <v>46280</v>
      </c>
      <c r="E73" s="20" t="n">
        <v>46280</v>
      </c>
      <c r="F73" s="21" t="n">
        <v>1.5</v>
      </c>
      <c r="G73" s="19" t="inlineStr">
        <is>
          <t>Provided</t>
        </is>
      </c>
      <c r="H73" s="19" t="inlineStr">
        <is>
          <t>Provided</t>
        </is>
      </c>
      <c r="I73" s="19" t="inlineStr">
        <is>
          <t>C&amp;P</t>
        </is>
      </c>
      <c r="J73" s="19" t="inlineStr"/>
    </row>
    <row r="74">
      <c r="A74" s="19" t="inlineStr">
        <is>
          <t>Godrej Se7en, Elevate</t>
        </is>
      </c>
      <c r="B74" s="19" t="inlineStr">
        <is>
          <t>External Electrical - Panels</t>
        </is>
      </c>
      <c r="C74" s="20" t="n">
        <v>46371</v>
      </c>
      <c r="D74" s="20" t="n">
        <v>46280</v>
      </c>
      <c r="E74" s="20" t="n">
        <v>46280</v>
      </c>
      <c r="F74" s="21" t="n">
        <v>1</v>
      </c>
      <c r="G74" s="19" t="inlineStr">
        <is>
          <t>Provided</t>
        </is>
      </c>
      <c r="H74" s="19" t="inlineStr">
        <is>
          <t>Provided</t>
        </is>
      </c>
      <c r="I74" s="19" t="inlineStr">
        <is>
          <t>C&amp;P</t>
        </is>
      </c>
      <c r="J74" s="19" t="inlineStr"/>
    </row>
    <row r="75">
      <c r="A75" s="19" t="inlineStr">
        <is>
          <t>Godrej Se7en, Elevate</t>
        </is>
      </c>
      <c r="B75" s="19" t="inlineStr">
        <is>
          <t>Solar</t>
        </is>
      </c>
      <c r="C75" s="20" t="n">
        <v>46338</v>
      </c>
      <c r="D75" s="20" t="n">
        <v>46338</v>
      </c>
      <c r="E75" s="20" t="n">
        <v>46338</v>
      </c>
      <c r="F75" s="21" t="n">
        <v>0.12</v>
      </c>
      <c r="G75" s="19" t="inlineStr">
        <is>
          <t>Provided</t>
        </is>
      </c>
      <c r="H75" s="19" t="inlineStr">
        <is>
          <t>Provided</t>
        </is>
      </c>
      <c r="I75" s="19" t="inlineStr">
        <is>
          <t>C&amp;P</t>
        </is>
      </c>
      <c r="J75" s="19" t="inlineStr"/>
    </row>
    <row r="76">
      <c r="A76" s="19" t="inlineStr">
        <is>
          <t>Godrej Se7en, Elevate</t>
        </is>
      </c>
      <c r="B76" s="19" t="inlineStr">
        <is>
          <t>DG</t>
        </is>
      </c>
      <c r="C76" s="20" t="n">
        <v>46558</v>
      </c>
      <c r="D76" s="20" t="n">
        <v>46280</v>
      </c>
      <c r="E76" s="20" t="n">
        <v>46280</v>
      </c>
      <c r="F76" s="21" t="n">
        <v>1.4</v>
      </c>
      <c r="G76" s="19" t="inlineStr">
        <is>
          <t>Not provided</t>
        </is>
      </c>
      <c r="H76" s="19" t="inlineStr">
        <is>
          <t>Provided</t>
        </is>
      </c>
      <c r="I76" s="19" t="inlineStr">
        <is>
          <t>C&amp;B</t>
        </is>
      </c>
      <c r="J76" s="19" t="inlineStr">
        <is>
          <t>C&amp;B - BOQ</t>
        </is>
      </c>
    </row>
    <row r="77">
      <c r="A77" s="19" t="inlineStr">
        <is>
          <t>Godrej Se7en, Elevate</t>
        </is>
      </c>
      <c r="B77" s="19" t="inlineStr">
        <is>
          <t>Road</t>
        </is>
      </c>
      <c r="C77" s="20" t="n">
        <v>46446</v>
      </c>
      <c r="D77" s="20" t="n">
        <v>46446</v>
      </c>
      <c r="E77" s="20" t="n">
        <v>46446</v>
      </c>
      <c r="F77" s="21" t="n">
        <v>1.5</v>
      </c>
      <c r="G77" s="19" t="inlineStr">
        <is>
          <t>Not provided</t>
        </is>
      </c>
      <c r="H77" s="19" t="inlineStr">
        <is>
          <t>Not provided</t>
        </is>
      </c>
      <c r="I77" s="19" t="inlineStr">
        <is>
          <t>Design</t>
        </is>
      </c>
      <c r="J77" s="19" t="inlineStr">
        <is>
          <t>Design - BOQ</t>
        </is>
      </c>
    </row>
    <row r="78">
      <c r="A78" s="19" t="inlineStr">
        <is>
          <t>Godrej Se7en, Elevate</t>
        </is>
      </c>
      <c r="B78" s="19" t="inlineStr">
        <is>
          <t>Hardscape</t>
        </is>
      </c>
      <c r="C78" s="20" t="n">
        <v>46451</v>
      </c>
      <c r="D78" s="20" t="n">
        <v>46451</v>
      </c>
      <c r="E78" s="20" t="n">
        <v>46451</v>
      </c>
      <c r="F78" s="21" t="n">
        <v>0.7</v>
      </c>
      <c r="G78" s="19" t="inlineStr">
        <is>
          <t>Not provided</t>
        </is>
      </c>
      <c r="H78" s="19" t="inlineStr">
        <is>
          <t>Not provided</t>
        </is>
      </c>
      <c r="I78" s="19" t="inlineStr">
        <is>
          <t>Design</t>
        </is>
      </c>
      <c r="J78" s="19" t="inlineStr">
        <is>
          <t>Design - BOQ</t>
        </is>
      </c>
    </row>
    <row r="79">
      <c r="A79" s="19" t="inlineStr">
        <is>
          <t>Godrej Se7en, Elevate</t>
        </is>
      </c>
      <c r="B79" s="19" t="inlineStr">
        <is>
          <t>Softscape</t>
        </is>
      </c>
      <c r="C79" s="20" t="n">
        <v>46451</v>
      </c>
      <c r="D79" s="20" t="n">
        <v>46451</v>
      </c>
      <c r="E79" s="20" t="n">
        <v>46451</v>
      </c>
      <c r="F79" s="21" t="n">
        <v>0.4</v>
      </c>
      <c r="G79" s="19" t="inlineStr">
        <is>
          <t>Not provided</t>
        </is>
      </c>
      <c r="H79" s="19" t="inlineStr">
        <is>
          <t>Not provided</t>
        </is>
      </c>
      <c r="I79" s="19" t="inlineStr">
        <is>
          <t>Design</t>
        </is>
      </c>
      <c r="J79" s="19" t="inlineStr">
        <is>
          <t>Design - BOQ</t>
        </is>
      </c>
    </row>
    <row r="80">
      <c r="A80" s="19" t="inlineStr">
        <is>
          <t>Godrej Se7en, Elevate</t>
        </is>
      </c>
      <c r="B80" s="19" t="inlineStr">
        <is>
          <t>Club House Interiors</t>
        </is>
      </c>
      <c r="C80" s="20" t="n">
        <v>46436</v>
      </c>
      <c r="D80" s="20" t="n">
        <v>46436</v>
      </c>
      <c r="E80" s="20" t="n">
        <v>46436</v>
      </c>
      <c r="F80" s="21" t="n">
        <v>2</v>
      </c>
      <c r="G80" s="19" t="inlineStr">
        <is>
          <t>Not provided</t>
        </is>
      </c>
      <c r="H80" s="19" t="inlineStr">
        <is>
          <t>Not provided</t>
        </is>
      </c>
      <c r="I80" s="19" t="inlineStr">
        <is>
          <t>Design</t>
        </is>
      </c>
      <c r="J80" s="19" t="inlineStr">
        <is>
          <t>Design - BOQ</t>
        </is>
      </c>
    </row>
    <row r="81">
      <c r="A81" s="19" t="inlineStr">
        <is>
          <t>Godrej Se7en, Elevate</t>
        </is>
      </c>
      <c r="B81" s="19" t="inlineStr">
        <is>
          <t>HVAC Package</t>
        </is>
      </c>
      <c r="C81" s="20" t="n">
        <v>46436</v>
      </c>
      <c r="D81" s="20" t="n">
        <v>46297</v>
      </c>
      <c r="E81" s="20" t="n">
        <v>46297</v>
      </c>
      <c r="F81" s="21" t="n"/>
      <c r="G81" s="19" t="inlineStr">
        <is>
          <t>Provided</t>
        </is>
      </c>
      <c r="H81" s="19" t="inlineStr">
        <is>
          <t>Provided</t>
        </is>
      </c>
      <c r="I81" s="19" t="inlineStr">
        <is>
          <t>C&amp;P</t>
        </is>
      </c>
      <c r="J81" s="19" t="inlineStr"/>
    </row>
    <row r="82">
      <c r="A82" s="19" t="inlineStr">
        <is>
          <t>Godrej Se7en, Elevate</t>
        </is>
      </c>
      <c r="B82" s="19" t="inlineStr">
        <is>
          <t>FAPA and CCTV and FTTH, Security, Boom Barriers</t>
        </is>
      </c>
      <c r="C82" s="20" t="n">
        <v>46436</v>
      </c>
      <c r="D82" s="20" t="n">
        <v>46282</v>
      </c>
      <c r="E82" s="20" t="n">
        <v>46282</v>
      </c>
      <c r="F82" s="21" t="n"/>
      <c r="G82" s="19" t="inlineStr">
        <is>
          <t>Provided</t>
        </is>
      </c>
      <c r="H82" s="19" t="inlineStr">
        <is>
          <t>Provided</t>
        </is>
      </c>
      <c r="I82" s="19" t="inlineStr">
        <is>
          <t>C&amp;P</t>
        </is>
      </c>
      <c r="J82" s="19" t="inlineStr"/>
    </row>
    <row r="83">
      <c r="A83" s="19" t="inlineStr">
        <is>
          <t>Godrej Se7en, Elevate</t>
        </is>
      </c>
      <c r="B83" s="19" t="inlineStr">
        <is>
          <t>Play Amenities</t>
        </is>
      </c>
      <c r="C83" s="20" t="n">
        <v>46436</v>
      </c>
      <c r="D83" s="20" t="n">
        <v>46436</v>
      </c>
      <c r="E83" s="20" t="n">
        <v>46436</v>
      </c>
      <c r="F83" s="21" t="n">
        <v>0.25</v>
      </c>
      <c r="G83" s="19" t="inlineStr">
        <is>
          <t>Not provided</t>
        </is>
      </c>
      <c r="H83" s="19" t="inlineStr">
        <is>
          <t>Not provided</t>
        </is>
      </c>
      <c r="I83" s="19" t="inlineStr">
        <is>
          <t>Design</t>
        </is>
      </c>
      <c r="J83" s="19" t="inlineStr">
        <is>
          <t>Design - BOQ</t>
        </is>
      </c>
    </row>
    <row r="84">
      <c r="A84" s="19" t="inlineStr">
        <is>
          <t>Godrej Se7en, Elevate</t>
        </is>
      </c>
      <c r="B84" s="19" t="inlineStr">
        <is>
          <t>Children's Play Equipments</t>
        </is>
      </c>
      <c r="C84" s="20" t="n">
        <v>46436</v>
      </c>
      <c r="D84" s="20" t="n">
        <v>46436</v>
      </c>
      <c r="E84" s="20" t="n">
        <v>46436</v>
      </c>
      <c r="F84" s="21" t="n">
        <v>0.15</v>
      </c>
      <c r="G84" s="19" t="inlineStr">
        <is>
          <t>Not provided</t>
        </is>
      </c>
      <c r="H84" s="19" t="inlineStr">
        <is>
          <t>Not provided</t>
        </is>
      </c>
      <c r="I84" s="19" t="inlineStr">
        <is>
          <t>Design</t>
        </is>
      </c>
      <c r="J84" s="19" t="inlineStr">
        <is>
          <t>Design - BOQ</t>
        </is>
      </c>
    </row>
    <row r="85">
      <c r="A85" s="19" t="inlineStr">
        <is>
          <t>Godrej Se7en, Elevate</t>
        </is>
      </c>
      <c r="B85" s="19" t="inlineStr">
        <is>
          <t>Gym Equipments</t>
        </is>
      </c>
      <c r="C85" s="20" t="n">
        <v>46436</v>
      </c>
      <c r="D85" s="20" t="n">
        <v>46436</v>
      </c>
      <c r="E85" s="20" t="n">
        <v>46436</v>
      </c>
      <c r="F85" s="21" t="n">
        <v>0.07000000000000001</v>
      </c>
      <c r="G85" s="19" t="inlineStr">
        <is>
          <t>Not provided</t>
        </is>
      </c>
      <c r="H85" s="19" t="inlineStr">
        <is>
          <t>Not provided</t>
        </is>
      </c>
      <c r="I85" s="19" t="inlineStr">
        <is>
          <t>Design</t>
        </is>
      </c>
      <c r="J85" s="19" t="inlineStr">
        <is>
          <t>Design - BOQ</t>
        </is>
      </c>
    </row>
    <row r="86">
      <c r="A86" s="19" t="inlineStr">
        <is>
          <t>Plotted Development at Usthi</t>
        </is>
      </c>
      <c r="B86" s="19" t="inlineStr">
        <is>
          <t>New Culvert Construction</t>
        </is>
      </c>
      <c r="C86" s="20" t="n">
        <v>46203</v>
      </c>
      <c r="D86" s="20" t="n">
        <v>46203</v>
      </c>
      <c r="E86" s="20" t="n">
        <v>46203</v>
      </c>
      <c r="F86" s="21" t="n"/>
      <c r="G86" s="19" t="inlineStr">
        <is>
          <t>provided</t>
        </is>
      </c>
      <c r="H86" s="19" t="inlineStr">
        <is>
          <t>Provided</t>
        </is>
      </c>
      <c r="I86" s="19" t="inlineStr">
        <is>
          <t>C&amp;P</t>
        </is>
      </c>
      <c r="J86" s="19" t="inlineStr"/>
    </row>
    <row r="87">
      <c r="A87" s="19" t="inlineStr">
        <is>
          <t>Plotted Development at Usthi</t>
        </is>
      </c>
      <c r="B87" s="19" t="inlineStr">
        <is>
          <t>Irrigation Work</t>
        </is>
      </c>
      <c r="C87" s="20" t="n">
        <v>46226</v>
      </c>
      <c r="D87" s="20" t="n">
        <v>46226</v>
      </c>
      <c r="E87" s="20" t="n">
        <v>46226</v>
      </c>
      <c r="F87" s="21" t="n"/>
      <c r="G87" s="19" t="inlineStr">
        <is>
          <t>Not provided</t>
        </is>
      </c>
      <c r="H87" s="19" t="inlineStr">
        <is>
          <t>Provided</t>
        </is>
      </c>
      <c r="I87" s="19" t="inlineStr">
        <is>
          <t>C&amp;B</t>
        </is>
      </c>
      <c r="J87" s="19" t="inlineStr">
        <is>
          <t>C&amp;B - BOQ</t>
        </is>
      </c>
    </row>
    <row r="88">
      <c r="A88" s="19" t="inlineStr">
        <is>
          <t>Plotted Development at Usthi</t>
        </is>
      </c>
      <c r="B88" s="19" t="inlineStr">
        <is>
          <t>Club House -  Door &amp; Window Package</t>
        </is>
      </c>
      <c r="C88" s="20" t="n">
        <v>46244</v>
      </c>
      <c r="D88" s="20" t="n">
        <v>46244</v>
      </c>
      <c r="E88" s="20" t="n">
        <v>46244</v>
      </c>
      <c r="F88" s="21" t="n"/>
      <c r="G88" s="19" t="inlineStr">
        <is>
          <t>Provided</t>
        </is>
      </c>
      <c r="H88" s="19" t="inlineStr">
        <is>
          <t>Provided</t>
        </is>
      </c>
      <c r="I88" s="19" t="inlineStr">
        <is>
          <t>C&amp;B</t>
        </is>
      </c>
      <c r="J88" s="19" t="inlineStr"/>
    </row>
    <row r="89">
      <c r="A89" s="19" t="inlineStr">
        <is>
          <t>Plotted Development at Usthi</t>
        </is>
      </c>
      <c r="B89" s="19" t="inlineStr">
        <is>
          <t>Club House - External Paint</t>
        </is>
      </c>
      <c r="C89" s="20" t="n">
        <v>46244</v>
      </c>
      <c r="D89" s="20" t="n">
        <v>46244</v>
      </c>
      <c r="E89" s="20" t="n">
        <v>46244</v>
      </c>
      <c r="F89" s="21" t="n"/>
      <c r="G89" s="19" t="inlineStr">
        <is>
          <t>Provided</t>
        </is>
      </c>
      <c r="H89" s="19" t="inlineStr">
        <is>
          <t>Provided</t>
        </is>
      </c>
      <c r="I89" s="19" t="inlineStr">
        <is>
          <t>C&amp;P</t>
        </is>
      </c>
      <c r="J89" s="19" t="inlineStr"/>
    </row>
    <row r="90">
      <c r="A90" s="19" t="inlineStr">
        <is>
          <t>Plotted Development at Usthi</t>
        </is>
      </c>
      <c r="B90" s="19" t="inlineStr">
        <is>
          <t>Club House - Interior with Furniture</t>
        </is>
      </c>
      <c r="C90" s="20" t="n">
        <v>46236</v>
      </c>
      <c r="D90" s="20" t="n">
        <v>46236</v>
      </c>
      <c r="E90" s="20" t="n">
        <v>46236</v>
      </c>
      <c r="F90" s="21" t="n"/>
      <c r="G90" s="19" t="inlineStr">
        <is>
          <t>Not provided</t>
        </is>
      </c>
      <c r="H90" s="19" t="inlineStr">
        <is>
          <t>Provided</t>
        </is>
      </c>
      <c r="I90" s="19" t="inlineStr">
        <is>
          <t>C&amp;B</t>
        </is>
      </c>
      <c r="J90" s="19" t="inlineStr">
        <is>
          <t>C&amp;B - BOQ</t>
        </is>
      </c>
    </row>
    <row r="91">
      <c r="A91" s="19" t="inlineStr">
        <is>
          <t>Plotted Development at Usthi</t>
        </is>
      </c>
      <c r="B91" s="19" t="inlineStr">
        <is>
          <t>Club House - HVAC</t>
        </is>
      </c>
      <c r="C91" s="20" t="n">
        <v>46234</v>
      </c>
      <c r="D91" s="20" t="n">
        <v>46234</v>
      </c>
      <c r="E91" s="20" t="n">
        <v>46234</v>
      </c>
      <c r="F91" s="21" t="n"/>
      <c r="G91" s="19" t="inlineStr">
        <is>
          <t>provided</t>
        </is>
      </c>
      <c r="H91" s="19" t="inlineStr">
        <is>
          <t>provided</t>
        </is>
      </c>
      <c r="I91" s="19" t="inlineStr">
        <is>
          <t>C&amp;P</t>
        </is>
      </c>
      <c r="J91" s="19" t="inlineStr"/>
    </row>
    <row r="92">
      <c r="A92" s="19" t="inlineStr">
        <is>
          <t>Plotted Development at Usthi</t>
        </is>
      </c>
      <c r="B92" s="19" t="inlineStr">
        <is>
          <t>Banquate - External Paint</t>
        </is>
      </c>
      <c r="C92" s="20" t="n">
        <v>46206</v>
      </c>
      <c r="D92" s="20" t="n">
        <v>46206</v>
      </c>
      <c r="E92" s="20" t="n">
        <v>46206</v>
      </c>
      <c r="F92" s="21" t="n"/>
      <c r="G92" s="19" t="inlineStr">
        <is>
          <t>Provided</t>
        </is>
      </c>
      <c r="H92" s="19" t="inlineStr">
        <is>
          <t>Provided</t>
        </is>
      </c>
      <c r="I92" s="19" t="inlineStr">
        <is>
          <t>C&amp;P</t>
        </is>
      </c>
      <c r="J92" s="19" t="inlineStr"/>
    </row>
    <row r="93">
      <c r="A93" s="19" t="inlineStr">
        <is>
          <t>Plotted Development at Usthi</t>
        </is>
      </c>
      <c r="B93" s="19" t="inlineStr">
        <is>
          <t>Banquate - Interior with Furniture</t>
        </is>
      </c>
      <c r="C93" s="20" t="n">
        <v>46236</v>
      </c>
      <c r="D93" s="20" t="n">
        <v>46236</v>
      </c>
      <c r="E93" s="20" t="n">
        <v>46236</v>
      </c>
      <c r="F93" s="21" t="n"/>
      <c r="G93" s="19" t="inlineStr">
        <is>
          <t>Not provided</t>
        </is>
      </c>
      <c r="H93" s="19" t="inlineStr">
        <is>
          <t>Provided</t>
        </is>
      </c>
      <c r="I93" s="19" t="inlineStr">
        <is>
          <t>C&amp;B</t>
        </is>
      </c>
      <c r="J93" s="19" t="inlineStr">
        <is>
          <t>C&amp;B - BOQ</t>
        </is>
      </c>
    </row>
    <row r="94">
      <c r="A94" s="19" t="inlineStr">
        <is>
          <t>Raipur Plotted</t>
        </is>
      </c>
      <c r="B94" s="19" t="inlineStr">
        <is>
          <t>LANDSCAPE- Softscape</t>
        </is>
      </c>
      <c r="C94" s="20" t="n">
        <v>46189</v>
      </c>
      <c r="D94" s="20" t="n">
        <v>46308</v>
      </c>
      <c r="E94" s="20" t="n">
        <v>46308</v>
      </c>
      <c r="F94" s="21" t="n"/>
      <c r="G94" s="19" t="inlineStr">
        <is>
          <t>Not provided</t>
        </is>
      </c>
      <c r="H94" s="19" t="inlineStr">
        <is>
          <t>NOT PROVIDED</t>
        </is>
      </c>
      <c r="I94" s="19" t="inlineStr">
        <is>
          <t>Design</t>
        </is>
      </c>
      <c r="J94" s="19" t="inlineStr">
        <is>
          <t>Design - BOQ</t>
        </is>
      </c>
    </row>
    <row r="95">
      <c r="A95" s="19" t="inlineStr">
        <is>
          <t>Raipur Plotted</t>
        </is>
      </c>
      <c r="B95" s="19" t="inlineStr">
        <is>
          <t>LANDSCAPE- Hardscape</t>
        </is>
      </c>
      <c r="C95" s="20" t="n">
        <v>46189</v>
      </c>
      <c r="D95" s="20" t="n">
        <v>46299</v>
      </c>
      <c r="E95" s="20" t="n">
        <v>46299</v>
      </c>
      <c r="F95" s="21" t="n"/>
      <c r="G95" s="19" t="inlineStr">
        <is>
          <t>Not provided</t>
        </is>
      </c>
      <c r="H95" s="19" t="inlineStr">
        <is>
          <t>Provided</t>
        </is>
      </c>
      <c r="I95" s="19" t="inlineStr">
        <is>
          <t>C&amp;B</t>
        </is>
      </c>
      <c r="J95" s="19" t="inlineStr">
        <is>
          <t>C&amp;B - BOQ</t>
        </is>
      </c>
    </row>
    <row r="96">
      <c r="A96" s="19" t="inlineStr">
        <is>
          <t>Raipur Plotted</t>
        </is>
      </c>
      <c r="B96" s="19" t="inlineStr">
        <is>
          <t>Club House - Interior</t>
        </is>
      </c>
      <c r="C96" s="20" t="n">
        <v>46311</v>
      </c>
      <c r="D96" s="20" t="n">
        <v>46273</v>
      </c>
      <c r="E96" s="20" t="n">
        <v>46273</v>
      </c>
      <c r="F96" s="21" t="n"/>
      <c r="G96" s="19" t="inlineStr">
        <is>
          <t>Provided</t>
        </is>
      </c>
      <c r="H96" s="19" t="inlineStr">
        <is>
          <t>Provided</t>
        </is>
      </c>
      <c r="I96" s="19" t="inlineStr">
        <is>
          <t>C&amp;P</t>
        </is>
      </c>
      <c r="J96" s="19" t="inlineStr"/>
    </row>
  </sheetData>
  <autoFilter ref="A1:J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2026-09-03T13:44:32Z</dcterms:created>
  <dcterms:modified xmlns:dcterms="http://purl.org/dc/terms/" xmlns:xsi="http://www.w3.org/2001/XMLSchema-instance" xsi:type="dcterms:W3CDTF">2026-09-03T13:44:32Z</dcterms:modified>
</cp:coreProperties>
</file>